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Resort operations" sheetId="3" state="visible" r:id="rId3"/>
    <sheet xmlns:r="http://schemas.openxmlformats.org/officeDocument/2006/relationships" name="Owner economics" sheetId="4" state="visible" r:id="rId4"/>
    <sheet xmlns:r="http://schemas.openxmlformats.org/officeDocument/2006/relationships" name="Price sensitivity" sheetId="5" state="visible" r:id="rId5"/>
    <sheet xmlns:r="http://schemas.openxmlformats.org/officeDocument/2006/relationships" name="Cash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-$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0A3047"/>
      <sz val="14"/>
    </font>
    <font>
      <b val="1"/>
      <color rgb="00FFFFFF"/>
    </font>
    <font>
      <b val="1"/>
    </font>
    <font>
      <color rgb="00888888"/>
      <sz val="9"/>
    </font>
    <font>
      <color rgb="00555555"/>
      <sz val="9"/>
    </font>
    <font/>
    <font>
      <b val="1"/>
      <color rgb="000A3047"/>
    </font>
  </fonts>
  <fills count="5">
    <fill>
      <patternFill/>
    </fill>
    <fill>
      <patternFill patternType="gray125"/>
    </fill>
    <fill>
      <patternFill patternType="solid">
        <fgColor rgb="000A3047"/>
      </patternFill>
    </fill>
    <fill>
      <patternFill patternType="solid">
        <fgColor rgb="00EAF1F6"/>
      </patternFill>
    </fill>
    <fill>
      <patternFill patternType="solid">
        <fgColor rgb="00FFF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3" fontId="0" fillId="4" borderId="0" pivotButton="0" quotePrefix="0" xfId="0"/>
    <xf numFmtId="0" fontId="5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6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0" fontId="5" fillId="3" borderId="0" pivotButton="0" quotePrefix="0" xfId="0"/>
    <xf numFmtId="165" fontId="3" fillId="0" borderId="0" pivotButton="0" quotePrefix="0" xfId="0"/>
    <xf numFmtId="0" fontId="0" fillId="4" borderId="0" pivotButton="0" quotePrefix="0" xfId="0"/>
    <xf numFmtId="9" fontId="0" fillId="4" borderId="0" pivotButton="0" quotePrefix="0" xfId="0"/>
    <xf numFmtId="9" fontId="0" fillId="0" borderId="0" pivotButton="0" quotePrefix="0" xfId="0"/>
    <xf numFmtId="1" fontId="0" fillId="4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4" customWidth="1" min="4" max="4"/>
    <col width="14" customWidth="1" min="5" max="5"/>
    <col width="16" customWidth="1" min="6" max="6"/>
    <col width="60" customWidth="1" min="7" max="7"/>
  </cols>
  <sheetData>
    <row r="1">
      <c r="A1" s="1" t="inlineStr">
        <is>
          <t>Montreve: model inputs</t>
        </is>
      </c>
    </row>
    <row r="2">
      <c r="A2" t="inlineStr">
        <is>
          <t>Yellow cells are inputs. Every other sheet is formulas on these. Low / base / high are cost-side ranges; for revenue lines they are downside / base / upside.</t>
        </is>
      </c>
    </row>
    <row r="4">
      <c r="A4" s="2" t="inlineStr">
        <is>
          <t>Key</t>
        </is>
      </c>
      <c r="B4" s="3" t="inlineStr">
        <is>
          <t>Input</t>
        </is>
      </c>
      <c r="C4" s="3" t="inlineStr">
        <is>
          <t>Low</t>
        </is>
      </c>
      <c r="D4" s="3" t="inlineStr">
        <is>
          <t>Base</t>
        </is>
      </c>
      <c r="E4" s="3" t="inlineStr">
        <is>
          <t>High</t>
        </is>
      </c>
      <c r="F4" s="3" t="inlineStr">
        <is>
          <t>Unit</t>
        </is>
      </c>
      <c r="G4" s="3" t="inlineStr">
        <is>
          <t>Source</t>
        </is>
      </c>
    </row>
    <row r="5">
      <c r="A5" s="4" t="inlineStr">
        <is>
          <t>Program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existing</t>
        </is>
      </c>
      <c r="B6" t="inlineStr">
        <is>
          <t>Financed homes (lots 1, 3, 6, 18, 21, 28, 30)</t>
        </is>
      </c>
      <c r="C6" s="7" t="n">
        <v>7</v>
      </c>
      <c r="D6" s="7" t="n">
        <v>7</v>
      </c>
      <c r="E6" s="7" t="n">
        <v>7</v>
      </c>
      <c r="F6" t="inlineStr">
        <is>
          <t>homes</t>
        </is>
      </c>
      <c r="G6" s="8" t="inlineStr">
        <is>
          <t>Will's business plan, Oct 22 2026 p. 2</t>
        </is>
      </c>
    </row>
    <row r="7">
      <c r="A7" s="6" t="inlineStr">
        <is>
          <t>new_cabins</t>
        </is>
      </c>
      <c r="B7" t="inlineStr">
        <is>
          <t>New cabins on the remaining sale lots</t>
        </is>
      </c>
      <c r="C7" s="7" t="n">
        <v>17</v>
      </c>
      <c r="D7" s="7" t="n">
        <v>17</v>
      </c>
      <c r="E7" s="7" t="n">
        <v>17</v>
      </c>
      <c r="F7" t="inlineStr">
        <is>
          <t>cabins</t>
        </is>
      </c>
      <c r="G7" s="8" t="inlineStr">
        <is>
          <t>Site plan: 30 lots - 7 homes - 6 amenity lots</t>
        </is>
      </c>
    </row>
    <row r="8">
      <c r="A8" s="6" t="inlineStr">
        <is>
          <t>cabin_sf</t>
        </is>
      </c>
      <c r="B8" t="inlineStr">
        <is>
          <t>Cabin conditioned area (684 basement + 880 + 880)</t>
        </is>
      </c>
      <c r="C8" s="7" t="n">
        <v>2444</v>
      </c>
      <c r="D8" s="7" t="n">
        <v>2444</v>
      </c>
      <c r="E8" s="7" t="n">
        <v>2444</v>
      </c>
      <c r="F8" t="inlineStr">
        <is>
          <t>sf</t>
        </is>
      </c>
      <c r="G8" s="8" t="inlineStr">
        <is>
          <t>Owner cabin plans</t>
        </is>
      </c>
    </row>
    <row r="9">
      <c r="A9" s="4" t="inlineStr">
        <is>
          <t>Spent to date (reported, unaudited)</t>
        </is>
      </c>
      <c r="B9" s="5" t="n"/>
      <c r="C9" s="5" t="n"/>
      <c r="D9" s="5" t="n"/>
      <c r="E9" s="5" t="n"/>
      <c r="F9" s="5" t="n"/>
      <c r="G9" s="5" t="n"/>
    </row>
    <row r="10">
      <c r="A10" s="6" t="inlineStr">
        <is>
          <t>sunk_land</t>
        </is>
      </c>
      <c r="B10" t="inlineStr">
        <is>
          <t>Land</t>
        </is>
      </c>
      <c r="C10" s="9" t="n">
        <v>1500000</v>
      </c>
      <c r="D10" s="9" t="n">
        <v>1500000</v>
      </c>
      <c r="E10" s="9" t="n">
        <v>1500000</v>
      </c>
      <c r="F10" t="inlineStr">
        <is>
          <t>$</t>
        </is>
      </c>
      <c r="G10" s="8" t="inlineStr">
        <is>
          <t>Will's business plan, Oct 22 2026 p. 11 (Oct 20 cost workbook)</t>
        </is>
      </c>
    </row>
    <row r="11">
      <c r="A11" s="6" t="inlineStr">
        <is>
          <t>sunk_gc</t>
        </is>
      </c>
      <c r="B11" t="inlineStr">
        <is>
          <t>General contractor to date</t>
        </is>
      </c>
      <c r="C11" s="9" t="n">
        <v>4512349.09</v>
      </c>
      <c r="D11" s="9" t="n">
        <v>4512349.09</v>
      </c>
      <c r="E11" s="9" t="n">
        <v>4512349.09</v>
      </c>
      <c r="F11" t="inlineStr">
        <is>
          <t>$</t>
        </is>
      </c>
      <c r="G11" s="8" t="inlineStr">
        <is>
          <t>Will's business plan, Oct 22 2026 p. 11</t>
        </is>
      </c>
    </row>
    <row r="12">
      <c r="A12" s="6" t="inlineStr">
        <is>
          <t>sunk_soft</t>
        </is>
      </c>
      <c r="B12" t="inlineStr">
        <is>
          <t>Soft costs to date</t>
        </is>
      </c>
      <c r="C12" s="9" t="n">
        <v>639581.6</v>
      </c>
      <c r="D12" s="9" t="n">
        <v>639581.6</v>
      </c>
      <c r="E12" s="9" t="n">
        <v>639581.6</v>
      </c>
      <c r="F12" t="inlineStr">
        <is>
          <t>$</t>
        </is>
      </c>
      <c r="G12" s="8" t="inlineStr">
        <is>
          <t>Will's business plan, Oct 22 2026 p. 11</t>
        </is>
      </c>
    </row>
    <row r="13">
      <c r="A13" s="6" t="inlineStr">
        <is>
          <t>sunk_int</t>
        </is>
      </c>
      <c r="B13" t="inlineStr">
        <is>
          <t>Interest paid to date</t>
        </is>
      </c>
      <c r="C13" s="9" t="n">
        <v>479850.11</v>
      </c>
      <c r="D13" s="9" t="n">
        <v>479850.11</v>
      </c>
      <c r="E13" s="9" t="n">
        <v>479850.11</v>
      </c>
      <c r="F13" t="inlineStr">
        <is>
          <t>$</t>
        </is>
      </c>
      <c r="G13" s="8" t="inlineStr">
        <is>
          <t>Will's business plan, Oct 22 2026 p. 11</t>
        </is>
      </c>
    </row>
    <row r="14">
      <c r="A14" s="4" t="inlineStr">
        <is>
          <t>Finish the 7 financed homes</t>
        </is>
      </c>
      <c r="B14" s="5" t="n"/>
      <c r="C14" s="5" t="n"/>
      <c r="D14" s="5" t="n"/>
      <c r="E14" s="5" t="n"/>
      <c r="F14" s="5" t="n"/>
      <c r="G14" s="5" t="n"/>
    </row>
    <row r="15">
      <c r="A15" s="6" t="inlineStr">
        <is>
          <t>existing_finish</t>
        </is>
      </c>
      <c r="B15" t="inlineStr">
        <is>
          <t>Completion and turnover reserve (all 7)</t>
        </is>
      </c>
      <c r="C15" s="9" t="n">
        <v>300000</v>
      </c>
      <c r="D15" s="9" t="n">
        <v>600000</v>
      </c>
      <c r="E15" s="9" t="n">
        <v>1000000</v>
      </c>
      <c r="F15" t="inlineStr">
        <is>
          <t>$</t>
        </is>
      </c>
      <c r="G15" s="8" t="inlineStr">
        <is>
          <t>Will's business plan, Oct 22 2026 p. 13; GC shows $270,046 left on contract</t>
        </is>
      </c>
    </row>
    <row r="16">
      <c r="A16" s="4" t="inlineStr">
        <is>
          <t>New cabins (per cabin)</t>
        </is>
      </c>
      <c r="B16" s="5" t="n"/>
      <c r="C16" s="5" t="n"/>
      <c r="D16" s="5" t="n"/>
      <c r="E16" s="5" t="n"/>
      <c r="F16" s="5" t="n"/>
      <c r="G16" s="5" t="n"/>
    </row>
    <row r="17">
      <c r="A17" s="6" t="inlineStr">
        <is>
          <t>cabin_hard</t>
        </is>
      </c>
      <c r="B17" t="inlineStr">
        <is>
          <t>Vertical construction</t>
        </is>
      </c>
      <c r="C17" s="9" t="n">
        <v>640000</v>
      </c>
      <c r="D17" s="9" t="n">
        <v>710000</v>
      </c>
      <c r="E17" s="9" t="n">
        <v>800000</v>
      </c>
      <c r="F17" t="inlineStr">
        <is>
          <t>$/cabin</t>
        </is>
      </c>
      <c r="G17" s="8" t="inlineStr">
        <is>
          <t>Project GC contract $4.78M / 7 = $683k, +4% escalation (base)</t>
        </is>
      </c>
    </row>
    <row r="18">
      <c r="A18" s="6" t="inlineStr">
        <is>
          <t>cabin_site</t>
        </is>
      </c>
      <c r="B18" t="inlineStr">
        <is>
          <t>Lot work: driveway, septic or sewer tap, power and water service</t>
        </is>
      </c>
      <c r="C18" s="9" t="n">
        <v>40000</v>
      </c>
      <c r="D18" s="9" t="n">
        <v>65000</v>
      </c>
      <c r="E18" s="9" t="n">
        <v>120000</v>
      </c>
      <c r="F18" t="inlineStr">
        <is>
          <t>$/cabin</t>
        </is>
      </c>
      <c r="G18" s="8" t="inlineStr">
        <is>
          <t>Allowance; sloped lots, power is the known constraint (fractional plan)</t>
        </is>
      </c>
    </row>
    <row r="19">
      <c r="A19" s="6" t="inlineStr">
        <is>
          <t>cabin_ffe</t>
        </is>
      </c>
      <c r="B19" t="inlineStr">
        <is>
          <t>Furnishing to rental-ready (sold turnkey)</t>
        </is>
      </c>
      <c r="C19" s="9" t="n">
        <v>40000</v>
      </c>
      <c r="D19" s="9" t="n">
        <v>55000</v>
      </c>
      <c r="E19" s="9" t="n">
        <v>75000</v>
      </c>
      <c r="F19" t="inlineStr">
        <is>
          <t>$/cabin</t>
        </is>
      </c>
      <c r="G19" s="8" t="inlineStr">
        <is>
          <t>Allowance</t>
        </is>
      </c>
    </row>
    <row r="20">
      <c r="A20" s="6" t="inlineStr">
        <is>
          <t>cabin_soft</t>
        </is>
      </c>
      <c r="B20" t="inlineStr">
        <is>
          <t>Soft costs (permits, engineering, builder's risk)</t>
        </is>
      </c>
      <c r="C20" s="10" t="n">
        <v>0.05</v>
      </c>
      <c r="D20" s="10" t="n">
        <v>0.07000000000000001</v>
      </c>
      <c r="E20" s="10" t="n">
        <v>0.09</v>
      </c>
      <c r="F20" t="inlineStr">
        <is>
          <t>% of hard + lot</t>
        </is>
      </c>
      <c r="G20" s="8" t="inlineStr">
        <is>
          <t>Allowance</t>
        </is>
      </c>
    </row>
    <row r="21">
      <c r="A21" s="6" t="inlineStr">
        <is>
          <t>cabin_cont</t>
        </is>
      </c>
      <c r="B21" t="inlineStr">
        <is>
          <t>Contingency (repeat plan)</t>
        </is>
      </c>
      <c r="C21" s="10" t="n">
        <v>0.05</v>
      </c>
      <c r="D21" s="10" t="n">
        <v>0.08</v>
      </c>
      <c r="E21" s="10" t="n">
        <v>0.12</v>
      </c>
      <c r="F21" t="inlineStr">
        <is>
          <t>% of hard + lot</t>
        </is>
      </c>
      <c r="G21" s="8" t="inlineStr">
        <is>
          <t>Allowance</t>
        </is>
      </c>
    </row>
    <row r="22">
      <c r="A22" s="4" t="inlineStr">
        <is>
          <t>Shared site work (every program)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predev</t>
        </is>
      </c>
      <c r="B23" t="inlineStr">
        <is>
          <t>Survey, topo, geotech, civil, entitlements, HOA documents</t>
        </is>
      </c>
      <c r="C23" s="9" t="n">
        <v>250000</v>
      </c>
      <c r="D23" s="9" t="n">
        <v>450000</v>
      </c>
      <c r="E23" s="9" t="n">
        <v>750000</v>
      </c>
      <c r="F23" t="inlineStr">
        <is>
          <t>$</t>
        </is>
      </c>
      <c r="G23" s="8" t="inlineStr">
        <is>
          <t>Will's business plan, Oct 22 2026 p. 13</t>
        </is>
      </c>
    </row>
    <row r="24">
      <c r="A24" s="6" t="inlineStr">
        <is>
          <t>infra</t>
        </is>
      </c>
      <c r="B24" t="inlineStr">
        <is>
          <t>Roads to standard, utility mains, power extension, gate and entry, stormwater</t>
        </is>
      </c>
      <c r="C24" s="9" t="n">
        <v>500000</v>
      </c>
      <c r="D24" s="9" t="n">
        <v>900000</v>
      </c>
      <c r="E24" s="9" t="n">
        <v>2000000</v>
      </c>
      <c r="F24" t="inlineStr">
        <is>
          <t>$</t>
        </is>
      </c>
      <c r="G24" s="8" t="inlineStr">
        <is>
          <t>Share of Will's business plan, Oct 22 2026 $0.8-3.0M site line</t>
        </is>
      </c>
    </row>
    <row r="25">
      <c r="A25" s="4" t="inlineStr">
        <is>
          <t>Resort amenities: full program</t>
        </is>
      </c>
      <c r="B25" s="5" t="n"/>
      <c r="C25" s="5" t="n"/>
      <c r="D25" s="5" t="n"/>
      <c r="E25" s="5" t="n"/>
      <c r="F25" s="5" t="n"/>
      <c r="G25" s="5" t="n"/>
    </row>
    <row r="26">
      <c r="A26" s="6" t="inlineStr">
        <is>
          <t>pav_sf</t>
        </is>
      </c>
      <c r="B26" t="inlineStr">
        <is>
          <t>Glass wedding pavilion</t>
        </is>
      </c>
      <c r="C26" s="7" t="n">
        <v>6000</v>
      </c>
      <c r="D26" s="7" t="n">
        <v>6000</v>
      </c>
      <c r="E26" s="7" t="n">
        <v>6000</v>
      </c>
      <c r="F26" t="inlineStr">
        <is>
          <t>sf</t>
        </is>
      </c>
      <c r="G26" s="8" t="inlineStr">
        <is>
          <t>Will's business plan, Oct 22 2026 p. 6</t>
        </is>
      </c>
    </row>
    <row r="27">
      <c r="A27" s="6" t="inlineStr">
        <is>
          <t>pav_psf</t>
        </is>
      </c>
      <c r="B27" t="inlineStr">
        <is>
          <t>Pavilion cost</t>
        </is>
      </c>
      <c r="C27" s="9" t="n">
        <v>400</v>
      </c>
      <c r="D27" s="9" t="n">
        <v>550</v>
      </c>
      <c r="E27" s="9" t="n">
        <v>700</v>
      </c>
      <c r="F27" t="inlineStr">
        <is>
          <t>$/sf</t>
        </is>
      </c>
      <c r="G27" s="8" t="inlineStr">
        <is>
          <t>Will's business plan, Oct 22 2026 p. 13</t>
        </is>
      </c>
    </row>
    <row r="28">
      <c r="A28" s="6" t="inlineStr">
        <is>
          <t>din_sf</t>
        </is>
      </c>
      <c r="B28" t="inlineStr">
        <is>
          <t>Dining and catering building</t>
        </is>
      </c>
      <c r="C28" s="7" t="n">
        <v>2500</v>
      </c>
      <c r="D28" s="7" t="n">
        <v>2500</v>
      </c>
      <c r="E28" s="7" t="n">
        <v>2500</v>
      </c>
      <c r="F28" t="inlineStr">
        <is>
          <t>sf</t>
        </is>
      </c>
      <c r="G28" s="8" t="inlineStr">
        <is>
          <t>Will's business plan, Oct 22 2026 p. 6</t>
        </is>
      </c>
    </row>
    <row r="29">
      <c r="A29" s="6" t="inlineStr">
        <is>
          <t>din_psf</t>
        </is>
      </c>
      <c r="B29" t="inlineStr">
        <is>
          <t>Dining cost</t>
        </is>
      </c>
      <c r="C29" s="9" t="n">
        <v>300</v>
      </c>
      <c r="D29" s="9" t="n">
        <v>450</v>
      </c>
      <c r="E29" s="9" t="n">
        <v>600</v>
      </c>
      <c r="F29" t="inlineStr">
        <is>
          <t>$/sf</t>
        </is>
      </c>
      <c r="G29" s="8" t="inlineStr">
        <is>
          <t>Will's business plan, Oct 22 2026 p. 13</t>
        </is>
      </c>
    </row>
    <row r="30">
      <c r="A30" s="6" t="inlineStr">
        <is>
          <t>courts</t>
        </is>
      </c>
      <c r="B30" t="inlineStr">
        <is>
          <t>One tennis and two pickleball courts</t>
        </is>
      </c>
      <c r="C30" s="9" t="n">
        <v>150000</v>
      </c>
      <c r="D30" s="9" t="n">
        <v>220000</v>
      </c>
      <c r="E30" s="9" t="n">
        <v>350000</v>
      </c>
      <c r="F30" t="inlineStr">
        <is>
          <t>$</t>
        </is>
      </c>
      <c r="G30" s="8" t="inlineStr">
        <is>
          <t>Will's business plan, Oct 22 2026 p. 13</t>
        </is>
      </c>
    </row>
    <row r="31">
      <c r="A31" s="6" t="inlineStr">
        <is>
          <t>trails</t>
        </is>
      </c>
      <c r="B31" t="inlineStr">
        <is>
          <t>Trails and landscape</t>
        </is>
      </c>
      <c r="C31" s="9" t="n">
        <v>60000</v>
      </c>
      <c r="D31" s="9" t="n">
        <v>120000</v>
      </c>
      <c r="E31" s="9" t="n">
        <v>250000</v>
      </c>
      <c r="F31" t="inlineStr">
        <is>
          <t>$</t>
        </is>
      </c>
      <c r="G31" s="8" t="inlineStr">
        <is>
          <t>Will's business plan, Oct 22 2026 p. 13</t>
        </is>
      </c>
    </row>
    <row r="32">
      <c r="A32" s="6" t="inlineStr">
        <is>
          <t>amen_site</t>
        </is>
      </c>
      <c r="B32" t="inlineStr">
        <is>
          <t>Event parking and amenity site work</t>
        </is>
      </c>
      <c r="C32" s="9" t="n">
        <v>300000</v>
      </c>
      <c r="D32" s="9" t="n">
        <v>600000</v>
      </c>
      <c r="E32" s="9" t="n">
        <v>1000000</v>
      </c>
      <c r="F32" t="inlineStr">
        <is>
          <t>$</t>
        </is>
      </c>
      <c r="G32" s="8" t="inlineStr">
        <is>
          <t>Balance of Will's business plan, Oct 22 2026 site line</t>
        </is>
      </c>
    </row>
    <row r="33">
      <c r="A33" s="6" t="inlineStr">
        <is>
          <t>amen_ffe</t>
        </is>
      </c>
      <c r="B33" t="inlineStr">
        <is>
          <t>Amenity furniture and equipment</t>
        </is>
      </c>
      <c r="C33" s="9" t="n">
        <v>200000</v>
      </c>
      <c r="D33" s="9" t="n">
        <v>300000</v>
      </c>
      <c r="E33" s="9" t="n">
        <v>500000</v>
      </c>
      <c r="F33" t="inlineStr">
        <is>
          <t>$</t>
        </is>
      </c>
      <c r="G33" s="8" t="inlineStr">
        <is>
          <t>Will's business plan, Oct 22 2026 p. 13 (cabins excluded)</t>
        </is>
      </c>
    </row>
    <row r="34">
      <c r="A34" s="6" t="inlineStr">
        <is>
          <t>preopen</t>
        </is>
      </c>
      <c r="B34" t="inlineStr">
        <is>
          <t>Preopening and working capital</t>
        </is>
      </c>
      <c r="C34" s="9" t="n">
        <v>250000</v>
      </c>
      <c r="D34" s="9" t="n">
        <v>400000</v>
      </c>
      <c r="E34" s="9" t="n">
        <v>600000</v>
      </c>
      <c r="F34" t="inlineStr">
        <is>
          <t>$</t>
        </is>
      </c>
      <c r="G34" s="8" t="inlineStr">
        <is>
          <t>Will's business plan, Oct 22 2026 p. 13</t>
        </is>
      </c>
    </row>
    <row r="35">
      <c r="A35" s="4" t="inlineStr">
        <is>
          <t>Resort amenities: lean program</t>
        </is>
      </c>
      <c r="B35" s="5" t="n"/>
      <c r="C35" s="5" t="n"/>
      <c r="D35" s="5" t="n"/>
      <c r="E35" s="5" t="n"/>
      <c r="F35" s="5" t="n"/>
      <c r="G35" s="5" t="n"/>
    </row>
    <row r="36">
      <c r="A36" s="6" t="inlineStr">
        <is>
          <t>lpav_sf</t>
        </is>
      </c>
      <c r="B36" t="inlineStr">
        <is>
          <t>Smaller pavilion</t>
        </is>
      </c>
      <c r="C36" s="7" t="n">
        <v>3000</v>
      </c>
      <c r="D36" s="7" t="n">
        <v>3000</v>
      </c>
      <c r="E36" s="7" t="n">
        <v>3000</v>
      </c>
      <c r="F36" t="inlineStr">
        <is>
          <t>sf</t>
        </is>
      </c>
      <c r="G36" s="8" t="inlineStr">
        <is>
          <t>Will's business plan, Oct 22 2026 p. 17</t>
        </is>
      </c>
    </row>
    <row r="37">
      <c r="A37" s="6" t="inlineStr">
        <is>
          <t>lpav_psf</t>
        </is>
      </c>
      <c r="B37" t="inlineStr">
        <is>
          <t>Smaller pavilion cost</t>
        </is>
      </c>
      <c r="C37" s="9" t="n">
        <v>380</v>
      </c>
      <c r="D37" s="9" t="n">
        <v>500</v>
      </c>
      <c r="E37" s="9" t="n">
        <v>620</v>
      </c>
      <c r="F37" t="inlineStr">
        <is>
          <t>$/sf</t>
        </is>
      </c>
      <c r="G37" s="8" t="inlineStr">
        <is>
          <t>Will's business plan, Oct 22 2026 p. 17</t>
        </is>
      </c>
    </row>
    <row r="38">
      <c r="A38" s="6" t="inlineStr">
        <is>
          <t>lsvc_sf</t>
        </is>
      </c>
      <c r="B38" t="inlineStr">
        <is>
          <t>Caterer service kitchen</t>
        </is>
      </c>
      <c r="C38" s="7" t="n">
        <v>800</v>
      </c>
      <c r="D38" s="7" t="n">
        <v>800</v>
      </c>
      <c r="E38" s="7" t="n">
        <v>800</v>
      </c>
      <c r="F38" t="inlineStr">
        <is>
          <t>sf</t>
        </is>
      </c>
      <c r="G38" s="8" t="inlineStr">
        <is>
          <t>Will's business plan, Oct 22 2026 p. 17</t>
        </is>
      </c>
    </row>
    <row r="39">
      <c r="A39" s="6" t="inlineStr">
        <is>
          <t>lsvc_psf</t>
        </is>
      </c>
      <c r="B39" t="inlineStr">
        <is>
          <t>Service kitchen cost</t>
        </is>
      </c>
      <c r="C39" s="9" t="n">
        <v>300</v>
      </c>
      <c r="D39" s="9" t="n">
        <v>400</v>
      </c>
      <c r="E39" s="9" t="n">
        <v>520</v>
      </c>
      <c r="F39" t="inlineStr">
        <is>
          <t>$/sf</t>
        </is>
      </c>
      <c r="G39" s="8" t="inlineStr">
        <is>
          <t>Will's business plan, Oct 22 2026 p. 17</t>
        </is>
      </c>
    </row>
    <row r="40">
      <c r="A40" s="6" t="inlineStr">
        <is>
          <t>lamen_site</t>
        </is>
      </c>
      <c r="B40" t="inlineStr">
        <is>
          <t>Event parking and site work (lean)</t>
        </is>
      </c>
      <c r="C40" s="9" t="n">
        <v>200000</v>
      </c>
      <c r="D40" s="9" t="n">
        <v>400000</v>
      </c>
      <c r="E40" s="9" t="n">
        <v>700000</v>
      </c>
      <c r="F40" t="inlineStr">
        <is>
          <t>$</t>
        </is>
      </c>
      <c r="G40" s="8" t="inlineStr">
        <is>
          <t>Allowance</t>
        </is>
      </c>
    </row>
    <row r="41">
      <c r="A41" s="6" t="inlineStr">
        <is>
          <t>lamen_ffe</t>
        </is>
      </c>
      <c r="B41" t="inlineStr">
        <is>
          <t>Amenity furniture (lean)</t>
        </is>
      </c>
      <c r="C41" s="9" t="n">
        <v>100000</v>
      </c>
      <c r="D41" s="9" t="n">
        <v>150000</v>
      </c>
      <c r="E41" s="9" t="n">
        <v>250000</v>
      </c>
      <c r="F41" t="inlineStr">
        <is>
          <t>$</t>
        </is>
      </c>
      <c r="G41" s="8" t="inlineStr">
        <is>
          <t>Allowance</t>
        </is>
      </c>
    </row>
    <row r="42">
      <c r="A42" s="6" t="inlineStr">
        <is>
          <t>lpreopen</t>
        </is>
      </c>
      <c r="B42" t="inlineStr">
        <is>
          <t>Preopening (lean)</t>
        </is>
      </c>
      <c r="C42" s="9" t="n">
        <v>150000</v>
      </c>
      <c r="D42" s="9" t="n">
        <v>250000</v>
      </c>
      <c r="E42" s="9" t="n">
        <v>400000</v>
      </c>
      <c r="F42" t="inlineStr">
        <is>
          <t>$</t>
        </is>
      </c>
      <c r="G42" s="8" t="inlineStr">
        <is>
          <t>Will's business plan, Oct 22 2026 p. 17</t>
        </is>
      </c>
    </row>
    <row r="43">
      <c r="A43" s="6" t="inlineStr">
        <is>
          <t>amen_cont</t>
        </is>
      </c>
      <c r="B43" t="inlineStr">
        <is>
          <t>Contingency on amenity hard cost and furniture</t>
        </is>
      </c>
      <c r="C43" s="10" t="n">
        <v>0.15</v>
      </c>
      <c r="D43" s="10" t="n">
        <v>0.2</v>
      </c>
      <c r="E43" s="10" t="n">
        <v>0.25</v>
      </c>
      <c r="F43" t="inlineStr">
        <is>
          <t>%</t>
        </is>
      </c>
      <c r="G43" s="8" t="inlineStr">
        <is>
          <t>Will's business plan, Oct 22 2026 p. 13</t>
        </is>
      </c>
    </row>
    <row r="44">
      <c r="A44" s="4" t="inlineStr">
        <is>
          <t>Financing and selling</t>
        </is>
      </c>
      <c r="B44" s="5" t="n"/>
      <c r="C44" s="5" t="n"/>
      <c r="D44" s="5" t="n"/>
      <c r="E44" s="5" t="n"/>
      <c r="F44" s="5" t="n"/>
      <c r="G44" s="5" t="n"/>
    </row>
    <row r="45">
      <c r="A45" s="6" t="inlineStr">
        <is>
          <t>rate</t>
        </is>
      </c>
      <c r="B45" t="inlineStr">
        <is>
          <t>Construction loan interest</t>
        </is>
      </c>
      <c r="C45" s="10" t="n">
        <v>0.08</v>
      </c>
      <c r="D45" s="10" t="n">
        <v>0.09</v>
      </c>
      <c r="E45" s="10" t="n">
        <v>0.105</v>
      </c>
      <c r="F45" t="inlineStr">
        <is>
          <t>%/yr</t>
        </is>
      </c>
      <c r="G45" s="8" t="inlineStr">
        <is>
          <t>Will's business plan, Oct 22 2026 p. 16 uses 9%</t>
        </is>
      </c>
    </row>
    <row r="46">
      <c r="A46" s="6" t="inlineStr">
        <is>
          <t>draw</t>
        </is>
      </c>
      <c r="B46" t="inlineStr">
        <is>
          <t>Average share of new spend outstanding (sales repay as you go)</t>
        </is>
      </c>
      <c r="C46" s="10" t="n">
        <v>0.35</v>
      </c>
      <c r="D46" s="10" t="n">
        <v>0.4</v>
      </c>
      <c r="E46" s="10" t="n">
        <v>0.5</v>
      </c>
      <c r="F46" t="inlineStr">
        <is>
          <t>%</t>
        </is>
      </c>
      <c r="G46" s="8" t="inlineStr">
        <is>
          <t>Phased build and sell</t>
        </is>
      </c>
    </row>
    <row r="47">
      <c r="A47" s="6" t="inlineStr">
        <is>
          <t>months</t>
        </is>
      </c>
      <c r="B47" t="inlineStr">
        <is>
          <t>Build-and-sell period</t>
        </is>
      </c>
      <c r="C47" s="7" t="n">
        <v>18</v>
      </c>
      <c r="D47" s="7" t="n">
        <v>24</v>
      </c>
      <c r="E47" s="7" t="n">
        <v>30</v>
      </c>
      <c r="F47" t="inlineStr">
        <is>
          <t>months</t>
        </is>
      </c>
      <c r="G47" s="8" t="inlineStr">
        <is>
          <t>Will's business plan, Oct 22 2026 p. 19: 15-24+ months</t>
        </is>
      </c>
    </row>
    <row r="48">
      <c r="A48" s="6" t="inlineStr">
        <is>
          <t>loan_fee</t>
        </is>
      </c>
      <c r="B48" t="inlineStr">
        <is>
          <t>Loan fees</t>
        </is>
      </c>
      <c r="C48" s="10" t="n">
        <v>0.0075</v>
      </c>
      <c r="D48" s="10" t="n">
        <v>0.01</v>
      </c>
      <c r="E48" s="10" t="n">
        <v>0.015</v>
      </c>
      <c r="F48" t="inlineStr">
        <is>
          <t>% of new spend</t>
        </is>
      </c>
      <c r="G48" s="8" t="inlineStr">
        <is>
          <t>Allowance</t>
        </is>
      </c>
    </row>
    <row r="49">
      <c r="A49" s="6" t="inlineStr">
        <is>
          <t>debt</t>
        </is>
      </c>
      <c r="B49" t="inlineStr">
        <is>
          <t>Existing loans (7 homes, Oct 14 2026)</t>
        </is>
      </c>
      <c r="C49" s="9" t="n">
        <v>5303543.3</v>
      </c>
      <c r="D49" s="9" t="n">
        <v>5303543.3</v>
      </c>
      <c r="E49" s="9" t="n">
        <v>5303543.3</v>
      </c>
      <c r="F49" t="inlineStr">
        <is>
          <t>$</t>
        </is>
      </c>
      <c r="G49" s="8" t="inlineStr">
        <is>
          <t>Will's business plan, Oct 22 2026 p. 12</t>
        </is>
      </c>
    </row>
    <row r="50">
      <c r="A50" s="6" t="inlineStr">
        <is>
          <t>debt_months</t>
        </is>
      </c>
      <c r="B50" t="inlineStr">
        <is>
          <t>Months the existing loans stay open</t>
        </is>
      </c>
      <c r="C50" s="7" t="n">
        <v>6</v>
      </c>
      <c r="D50" s="7" t="n">
        <v>9</v>
      </c>
      <c r="E50" s="7" t="n">
        <v>14</v>
      </c>
      <c r="F50" t="inlineStr">
        <is>
          <t>months</t>
        </is>
      </c>
      <c r="G50" s="8" t="inlineStr">
        <is>
          <t>Until the homes sell</t>
        </is>
      </c>
    </row>
    <row r="51">
      <c r="A51" s="6" t="inlineStr">
        <is>
          <t>ext_fee</t>
        </is>
      </c>
      <c r="B51" t="inlineStr">
        <is>
          <t>Extension fees per quarter (7 loans)</t>
        </is>
      </c>
      <c r="C51" s="9" t="n">
        <v>59742.97</v>
      </c>
      <c r="D51" s="9" t="n">
        <v>59742.97</v>
      </c>
      <c r="E51" s="9" t="n">
        <v>59742.97</v>
      </c>
      <c r="F51" t="inlineStr">
        <is>
          <t>$/qtr</t>
        </is>
      </c>
      <c r="G51" s="8" t="inlineStr">
        <is>
          <t>Will's business plan, Oct 22 2026 p. 12</t>
        </is>
      </c>
    </row>
    <row r="52">
      <c r="A52" s="6" t="inlineStr">
        <is>
          <t>commission</t>
        </is>
      </c>
      <c r="B52" t="inlineStr">
        <is>
          <t>Sales commission</t>
        </is>
      </c>
      <c r="C52" s="10" t="n">
        <v>0.05</v>
      </c>
      <c r="D52" s="10" t="n">
        <v>0.06</v>
      </c>
      <c r="E52" s="10" t="n">
        <v>0.06</v>
      </c>
      <c r="F52" t="inlineStr">
        <is>
          <t>% of price</t>
        </is>
      </c>
      <c r="G52" s="8" t="inlineStr">
        <is>
          <t>Market</t>
        </is>
      </c>
    </row>
    <row r="53">
      <c r="A53" s="6" t="inlineStr">
        <is>
          <t>closing</t>
        </is>
      </c>
      <c r="B53" t="inlineStr">
        <is>
          <t>Seller closing, title, transfer tax</t>
        </is>
      </c>
      <c r="C53" s="10" t="n">
        <v>0.01</v>
      </c>
      <c r="D53" s="10" t="n">
        <v>0.015</v>
      </c>
      <c r="E53" s="10" t="n">
        <v>0.02</v>
      </c>
      <c r="F53" t="inlineStr">
        <is>
          <t>% of price</t>
        </is>
      </c>
      <c r="G53" s="8" t="inlineStr">
        <is>
          <t>Market</t>
        </is>
      </c>
    </row>
    <row r="54">
      <c r="A54" s="6" t="inlineStr">
        <is>
          <t>marketing</t>
        </is>
      </c>
      <c r="B54" t="inlineStr">
        <is>
          <t>Sales marketing, model staging, website</t>
        </is>
      </c>
      <c r="C54" s="9" t="n">
        <v>150000</v>
      </c>
      <c r="D54" s="9" t="n">
        <v>250000</v>
      </c>
      <c r="E54" s="9" t="n">
        <v>400000</v>
      </c>
      <c r="F54" t="inlineStr">
        <is>
          <t>$</t>
        </is>
      </c>
      <c r="G54" s="8" t="inlineStr">
        <is>
          <t>Allowance</t>
        </is>
      </c>
    </row>
    <row r="55">
      <c r="A55" s="6" t="inlineStr">
        <is>
          <t>hold</t>
        </is>
      </c>
      <c r="B55" t="inlineStr">
        <is>
          <t>Taxes, insurance and dues on unsold inventory</t>
        </is>
      </c>
      <c r="C55" s="9" t="n">
        <v>100000</v>
      </c>
      <c r="D55" s="9" t="n">
        <v>150000</v>
      </c>
      <c r="E55" s="9" t="n">
        <v>250000</v>
      </c>
      <c r="F55" t="inlineStr">
        <is>
          <t>$</t>
        </is>
      </c>
      <c r="G55" s="8" t="inlineStr">
        <is>
          <t>Allowance</t>
        </is>
      </c>
    </row>
    <row r="56">
      <c r="A56" s="4" t="inlineStr">
        <is>
          <t>Pricing tests</t>
        </is>
      </c>
      <c r="B56" s="5" t="n"/>
      <c r="C56" s="5" t="n"/>
      <c r="D56" s="5" t="n"/>
      <c r="E56" s="5" t="n"/>
      <c r="F56" s="5" t="n"/>
      <c r="G56" s="5" t="n"/>
    </row>
    <row r="57">
      <c r="A57" s="6" t="inlineStr">
        <is>
          <t>price</t>
        </is>
      </c>
      <c r="B57" t="inlineStr">
        <is>
          <t>Cabin sale price tested</t>
        </is>
      </c>
      <c r="C57" s="9" t="n">
        <v>1300000</v>
      </c>
      <c r="D57" s="9" t="n">
        <v>1300000</v>
      </c>
      <c r="E57" s="9" t="n">
        <v>1300000</v>
      </c>
      <c r="F57" t="inlineStr">
        <is>
          <t>$/cabin</t>
        </is>
      </c>
      <c r="G57" s="8" t="inlineStr">
        <is>
          <t>Matthew: break-even target</t>
        </is>
      </c>
    </row>
    <row r="58">
      <c r="A58" s="6" t="inlineStr">
        <is>
          <t>margin</t>
        </is>
      </c>
      <c r="B58" t="inlineStr">
        <is>
          <t>Developer margin target (on cost)</t>
        </is>
      </c>
      <c r="C58" s="10" t="n">
        <v>0.15</v>
      </c>
      <c r="D58" s="10" t="n">
        <v>0.15</v>
      </c>
      <c r="E58" s="10" t="n">
        <v>0.15</v>
      </c>
      <c r="F58" t="inlineStr">
        <is>
          <t>%</t>
        </is>
      </c>
      <c r="G58" s="8" t="inlineStr">
        <is>
          <t>Typical for-sale target</t>
        </is>
      </c>
    </row>
    <row r="59">
      <c r="A59" s="6" t="inlineStr">
        <is>
          <t>comp</t>
        </is>
      </c>
      <c r="B59" t="inlineStr">
        <is>
          <t>Listed 3-bed indoor-pool cabins, Sevierville</t>
        </is>
      </c>
      <c r="C59" s="9" t="n">
        <v>900000</v>
      </c>
      <c r="D59" s="9" t="n">
        <v>925000</v>
      </c>
      <c r="E59" s="9" t="n">
        <v>950000</v>
      </c>
      <c r="F59" t="inlineStr">
        <is>
          <t>$</t>
        </is>
      </c>
      <c r="G59" s="8" t="inlineStr">
        <is>
          <t>Active listings Oct 2026 (asking, not sold)</t>
        </is>
      </c>
    </row>
    <row r="60">
      <c r="A60" s="4" t="inlineStr">
        <is>
          <t>Resort operations (stabilized year, full program)</t>
        </is>
      </c>
      <c r="B60" s="5" t="n"/>
      <c r="C60" s="5" t="n"/>
      <c r="D60" s="5" t="n"/>
      <c r="E60" s="5" t="n"/>
      <c r="F60" s="5" t="n"/>
      <c r="G60" s="5" t="n"/>
    </row>
    <row r="61">
      <c r="A61" s="6" t="inlineStr">
        <is>
          <t>weddings</t>
        </is>
      </c>
      <c r="B61" t="inlineStr">
        <is>
          <t>Weddings per year</t>
        </is>
      </c>
      <c r="C61" s="7" t="n">
        <v>20</v>
      </c>
      <c r="D61" s="7" t="n">
        <v>35</v>
      </c>
      <c r="E61" s="7" t="n">
        <v>50</v>
      </c>
      <c r="F61" t="inlineStr">
        <is>
          <t>events</t>
        </is>
      </c>
      <c r="G61" s="8" t="inlineStr">
        <is>
          <t>Will's business plan, Oct 22 2026 p. 14</t>
        </is>
      </c>
    </row>
    <row r="62">
      <c r="A62" s="6" t="inlineStr">
        <is>
          <t>wed_fee</t>
        </is>
      </c>
      <c r="B62" t="inlineStr">
        <is>
          <t>Venue fee per wedding</t>
        </is>
      </c>
      <c r="C62" s="9" t="n">
        <v>4000</v>
      </c>
      <c r="D62" s="9" t="n">
        <v>6000</v>
      </c>
      <c r="E62" s="9" t="n">
        <v>8000</v>
      </c>
      <c r="F62" t="inlineStr">
        <is>
          <t>$</t>
        </is>
      </c>
      <c r="G62" s="8" t="inlineStr">
        <is>
          <t>Will's business plan, Oct 22 2026 p. 14</t>
        </is>
      </c>
    </row>
    <row r="63">
      <c r="A63" s="6" t="inlineStr">
        <is>
          <t>retreats</t>
        </is>
      </c>
      <c r="B63" t="inlineStr">
        <is>
          <t>Retreats per year</t>
        </is>
      </c>
      <c r="C63" s="7" t="n">
        <v>6</v>
      </c>
      <c r="D63" s="7" t="n">
        <v>10</v>
      </c>
      <c r="E63" s="7" t="n">
        <v>16</v>
      </c>
      <c r="F63" t="inlineStr">
        <is>
          <t>events</t>
        </is>
      </c>
      <c r="G63" s="8" t="inlineStr">
        <is>
          <t>Will's business plan, Oct 22 2026 p. 14</t>
        </is>
      </c>
    </row>
    <row r="64">
      <c r="A64" s="6" t="inlineStr">
        <is>
          <t>ret_fee</t>
        </is>
      </c>
      <c r="B64" t="inlineStr">
        <is>
          <t>Venue fee per retreat</t>
        </is>
      </c>
      <c r="C64" s="9" t="n">
        <v>2500</v>
      </c>
      <c r="D64" s="9" t="n">
        <v>4000</v>
      </c>
      <c r="E64" s="9" t="n">
        <v>6000</v>
      </c>
      <c r="F64" t="inlineStr">
        <is>
          <t>$</t>
        </is>
      </c>
      <c r="G64" s="8" t="inlineStr">
        <is>
          <t>Will's business plan, Oct 22 2026 p. 14</t>
        </is>
      </c>
    </row>
    <row r="65">
      <c r="A65" s="6" t="inlineStr">
        <is>
          <t>ancillary</t>
        </is>
      </c>
      <c r="B65" t="inlineStr">
        <is>
          <t>Kitchen use, bar and rentals per event</t>
        </is>
      </c>
      <c r="C65" s="9" t="n">
        <v>500</v>
      </c>
      <c r="D65" s="9" t="n">
        <v>1000</v>
      </c>
      <c r="E65" s="9" t="n">
        <v>1500</v>
      </c>
      <c r="F65" t="inlineStr">
        <is>
          <t>$</t>
        </is>
      </c>
      <c r="G65" s="8" t="inlineStr">
        <is>
          <t>Allowance (catering itself is outsourced)</t>
        </is>
      </c>
    </row>
    <row r="66">
      <c r="A66" s="6" t="inlineStr">
        <is>
          <t>other_rev</t>
        </is>
      </c>
      <c r="B66" t="inlineStr">
        <is>
          <t>Other property revenue</t>
        </is>
      </c>
      <c r="C66" s="9" t="n">
        <v>20000</v>
      </c>
      <c r="D66" s="9" t="n">
        <v>40000</v>
      </c>
      <c r="E66" s="9" t="n">
        <v>70000</v>
      </c>
      <c r="F66" t="inlineStr">
        <is>
          <t>$</t>
        </is>
      </c>
      <c r="G66" s="8" t="inlineStr">
        <is>
          <t>Will's business plan, Oct 22 2026 p. 14</t>
        </is>
      </c>
    </row>
    <row r="67">
      <c r="A67" s="6" t="inlineStr">
        <is>
          <t>pool_share</t>
        </is>
      </c>
      <c r="B67" t="inlineStr">
        <is>
          <t>Cabins in the rental program</t>
        </is>
      </c>
      <c r="C67" s="10" t="n">
        <v>0.6</v>
      </c>
      <c r="D67" s="10" t="n">
        <v>0.75</v>
      </c>
      <c r="E67" s="10" t="n">
        <v>0.85</v>
      </c>
      <c r="F67" t="inlineStr">
        <is>
          <t>% of 24</t>
        </is>
      </c>
      <c r="G67" s="8" t="inlineStr">
        <is>
          <t>Assumption</t>
        </is>
      </c>
    </row>
    <row r="68">
      <c r="A68" s="6" t="inlineStr">
        <is>
          <t>gross_rent</t>
        </is>
      </c>
      <c r="B68" t="inlineStr">
        <is>
          <t>Gross rent per cabin per year</t>
        </is>
      </c>
      <c r="C68" s="9" t="n">
        <v>75000</v>
      </c>
      <c r="D68" s="9" t="n">
        <v>95000</v>
      </c>
      <c r="E68" s="9" t="n">
        <v>118625</v>
      </c>
      <c r="F68" t="inlineStr">
        <is>
          <t>$</t>
        </is>
      </c>
      <c r="G68" s="8" t="inlineStr">
        <is>
          <t>Comp $80k (2025); Will's business plan, Oct 22 2026 $650 x 50% = $118,625</t>
        </is>
      </c>
    </row>
    <row r="69">
      <c r="A69" s="6" t="inlineStr">
        <is>
          <t>mgmt_fee</t>
        </is>
      </c>
      <c r="B69" t="inlineStr">
        <is>
          <t>Rental management fee</t>
        </is>
      </c>
      <c r="C69" s="10" t="n">
        <v>0.2</v>
      </c>
      <c r="D69" s="10" t="n">
        <v>0.25</v>
      </c>
      <c r="E69" s="10" t="n">
        <v>0.3</v>
      </c>
      <c r="F69" t="inlineStr">
        <is>
          <t>% of rent</t>
        </is>
      </c>
      <c r="G69" s="8" t="inlineStr">
        <is>
          <t>Local range 20-35%</t>
        </is>
      </c>
    </row>
    <row r="70">
      <c r="A70" s="6" t="inlineStr">
        <is>
          <t>mgmt_cost</t>
        </is>
      </c>
      <c r="B70" t="inlineStr">
        <is>
          <t>Direct cost of running the rental program</t>
        </is>
      </c>
      <c r="C70" s="10" t="n">
        <v>0.55</v>
      </c>
      <c r="D70" s="10" t="n">
        <v>0.5</v>
      </c>
      <c r="E70" s="10" t="n">
        <v>0.45</v>
      </c>
      <c r="F70" t="inlineStr">
        <is>
          <t>% of fee</t>
        </is>
      </c>
      <c r="G70" s="8" t="inlineStr">
        <is>
          <t>Allowance</t>
        </is>
      </c>
    </row>
    <row r="71">
      <c r="A71" s="6" t="inlineStr">
        <is>
          <t>dues</t>
        </is>
      </c>
      <c r="B71" t="inlineStr">
        <is>
          <t>Owner club dues per cabin</t>
        </is>
      </c>
      <c r="C71" s="9" t="n">
        <v>350</v>
      </c>
      <c r="D71" s="9" t="n">
        <v>450</v>
      </c>
      <c r="E71" s="9" t="n">
        <v>600</v>
      </c>
      <c r="F71" t="inlineStr">
        <is>
          <t>$/month</t>
        </is>
      </c>
      <c r="G71" s="8" t="inlineStr">
        <is>
          <t>Assumption; sets amenity funding</t>
        </is>
      </c>
    </row>
    <row r="72">
      <c r="A72" s="6" t="inlineStr">
        <is>
          <t>venue_var</t>
        </is>
      </c>
      <c r="B72" t="inlineStr">
        <is>
          <t>Event variable cost</t>
        </is>
      </c>
      <c r="C72" s="10" t="n">
        <v>0.3</v>
      </c>
      <c r="D72" s="10" t="n">
        <v>0.3</v>
      </c>
      <c r="E72" s="10" t="n">
        <v>0.3</v>
      </c>
      <c r="F72" t="inlineStr">
        <is>
          <t>% of event revenue</t>
        </is>
      </c>
      <c r="G72" s="8" t="inlineStr">
        <is>
          <t>Will's business plan, Oct 22 2026 p. 14</t>
        </is>
      </c>
    </row>
    <row r="73">
      <c r="A73" s="6" t="inlineStr">
        <is>
          <t>other_var</t>
        </is>
      </c>
      <c r="B73" t="inlineStr">
        <is>
          <t>Other revenue variable cost</t>
        </is>
      </c>
      <c r="C73" s="10" t="n">
        <v>0.4</v>
      </c>
      <c r="D73" s="10" t="n">
        <v>0.4</v>
      </c>
      <c r="E73" s="10" t="n">
        <v>0.4</v>
      </c>
      <c r="F73" t="inlineStr">
        <is>
          <t>%</t>
        </is>
      </c>
      <c r="G73" s="8" t="inlineStr">
        <is>
          <t>Will's business plan, Oct 22 2026 p. 14</t>
        </is>
      </c>
    </row>
    <row r="74">
      <c r="A74" s="6" t="inlineStr">
        <is>
          <t>fixed</t>
        </is>
      </c>
      <c r="B74" t="inlineStr">
        <is>
          <t>Fixed overhead (staff, insurance, utilities, grounds, marketing)</t>
        </is>
      </c>
      <c r="C74" s="9" t="n">
        <v>480000</v>
      </c>
      <c r="D74" s="9" t="n">
        <v>480000</v>
      </c>
      <c r="E74" s="9" t="n">
        <v>480000</v>
      </c>
      <c r="F74" t="inlineStr">
        <is>
          <t>$/yr</t>
        </is>
      </c>
      <c r="G74" s="8" t="inlineStr">
        <is>
          <t>Will's business plan, Oct 22 2026 p. 10</t>
        </is>
      </c>
    </row>
    <row r="75">
      <c r="A75" s="6" t="inlineStr">
        <is>
          <t>reserve</t>
        </is>
      </c>
      <c r="B75" t="inlineStr">
        <is>
          <t>Replacement reserve</t>
        </is>
      </c>
      <c r="C75" s="10" t="n">
        <v>0.04</v>
      </c>
      <c r="D75" s="10" t="n">
        <v>0.04</v>
      </c>
      <c r="E75" s="10" t="n">
        <v>0.04</v>
      </c>
      <c r="F75" t="inlineStr">
        <is>
          <t>% of revenue</t>
        </is>
      </c>
      <c r="G75" s="8" t="inlineStr">
        <is>
          <t>Will's business plan, Oct 22 2026 p. 14</t>
        </is>
      </c>
    </row>
    <row r="76">
      <c r="A76" s="6" t="inlineStr">
        <is>
          <t>cap</t>
        </is>
      </c>
      <c r="B76" t="inlineStr">
        <is>
          <t>Cap rate to value the resort business</t>
        </is>
      </c>
      <c r="C76" s="10" t="n">
        <v>0.11</v>
      </c>
      <c r="D76" s="10" t="n">
        <v>0.1</v>
      </c>
      <c r="E76" s="10" t="n">
        <v>0.09</v>
      </c>
      <c r="F76" t="inlineStr">
        <is>
          <t>%</t>
        </is>
      </c>
      <c r="G76" s="8" t="inlineStr">
        <is>
          <t>Assumption</t>
        </is>
      </c>
    </row>
    <row r="77">
      <c r="A77" s="4" t="inlineStr">
        <is>
          <t>Owner economics (per cabin)</t>
        </is>
      </c>
      <c r="B77" s="5" t="n"/>
      <c r="C77" s="5" t="n"/>
      <c r="D77" s="5" t="n"/>
      <c r="E77" s="5" t="n"/>
      <c r="F77" s="5" t="n"/>
      <c r="G77" s="5" t="n"/>
    </row>
    <row r="78">
      <c r="A78" s="6" t="inlineStr">
        <is>
          <t>own_util</t>
        </is>
      </c>
      <c r="B78" t="inlineStr">
        <is>
          <t>Utilities, internet, pool and hot tub service</t>
        </is>
      </c>
      <c r="C78" s="9" t="n">
        <v>9000</v>
      </c>
      <c r="D78" s="9" t="n">
        <v>10000</v>
      </c>
      <c r="E78" s="9" t="n">
        <v>12000</v>
      </c>
      <c r="F78" t="inlineStr">
        <is>
          <t>$/yr</t>
        </is>
      </c>
      <c r="G78" s="8" t="inlineStr">
        <is>
          <t>Allowance</t>
        </is>
      </c>
    </row>
    <row r="79">
      <c r="A79" s="6" t="inlineStr">
        <is>
          <t>own_maint</t>
        </is>
      </c>
      <c r="B79" t="inlineStr">
        <is>
          <t>Maintenance and supplies</t>
        </is>
      </c>
      <c r="C79" s="9" t="n">
        <v>5000</v>
      </c>
      <c r="D79" s="9" t="n">
        <v>6000</v>
      </c>
      <c r="E79" s="9" t="n">
        <v>8000</v>
      </c>
      <c r="F79" t="inlineStr">
        <is>
          <t>$/yr</t>
        </is>
      </c>
      <c r="G79" s="8" t="inlineStr">
        <is>
          <t>Allowance</t>
        </is>
      </c>
    </row>
    <row r="80">
      <c r="A80" s="6" t="inlineStr">
        <is>
          <t>own_ins</t>
        </is>
      </c>
      <c r="B80" t="inlineStr">
        <is>
          <t>Insurance</t>
        </is>
      </c>
      <c r="C80" s="9" t="n">
        <v>5000</v>
      </c>
      <c r="D80" s="9" t="n">
        <v>6000</v>
      </c>
      <c r="E80" s="9" t="n">
        <v>8000</v>
      </c>
      <c r="F80" t="inlineStr">
        <is>
          <t>$/yr</t>
        </is>
      </c>
      <c r="G80" s="8" t="inlineStr">
        <is>
          <t>Allowance</t>
        </is>
      </c>
    </row>
    <row r="81">
      <c r="A81" s="6" t="inlineStr">
        <is>
          <t>own_tax</t>
        </is>
      </c>
      <c r="B81" t="inlineStr">
        <is>
          <t>Property tax rate on sale price</t>
        </is>
      </c>
      <c r="C81" s="10" t="n">
        <v>0.004</v>
      </c>
      <c r="D81" s="10" t="n">
        <v>0.0045</v>
      </c>
      <c r="E81" s="10" t="n">
        <v>0.005</v>
      </c>
      <c r="F81" t="inlineStr">
        <is>
          <t>% of price/yr</t>
        </is>
      </c>
      <c r="G81" s="8" t="inlineStr">
        <is>
          <t>Sevier Co. 25% assessment x ~$1.80/$100, unverified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Development budget and break-even</t>
        </is>
      </c>
    </row>
    <row r="2">
      <c r="A2" t="inlineStr">
        <is>
          <t>All 24 cabins for sale; the amenity line changes with the program. Columns: low / base / high cost case.</t>
        </is>
      </c>
    </row>
    <row r="4">
      <c r="A4" s="2" t="inlineStr">
        <is>
          <t>Line</t>
        </is>
      </c>
      <c r="B4" s="3" t="inlineStr">
        <is>
          <t>Low</t>
        </is>
      </c>
      <c r="C4" s="3" t="inlineStr">
        <is>
          <t>Base</t>
        </is>
      </c>
      <c r="D4" s="3" t="inlineStr">
        <is>
          <t>High</t>
        </is>
      </c>
      <c r="E4" s="3" t="inlineStr">
        <is>
          <t>Note</t>
        </is>
      </c>
    </row>
    <row r="5">
      <c r="A5" s="11" t="inlineStr">
        <is>
          <t>Cabins for sale</t>
        </is>
      </c>
      <c r="B5" s="12">
        <f>Inputs!$C$6+Inputs!$C$7</f>
        <v/>
      </c>
      <c r="C5" s="12">
        <f>Inputs!$D$6+Inputs!$D$7</f>
        <v/>
      </c>
      <c r="D5" s="12">
        <f>Inputs!$E$6+Inputs!$E$7</f>
        <v/>
      </c>
      <c r="E5" s="8" t="inlineStr"/>
    </row>
    <row r="6">
      <c r="A6" s="11" t="inlineStr">
        <is>
          <t>Spent to date (land, GC, soft, interest; reported)</t>
        </is>
      </c>
      <c r="B6" s="13">
        <f>Inputs!$C$10+Inputs!$C$11+Inputs!$C$12+Inputs!$C$13</f>
        <v/>
      </c>
      <c r="C6" s="13">
        <f>Inputs!$D$10+Inputs!$D$11+Inputs!$D$12+Inputs!$D$13</f>
        <v/>
      </c>
      <c r="D6" s="13">
        <f>Inputs!$E$10+Inputs!$E$11+Inputs!$E$12+Inputs!$E$13</f>
        <v/>
      </c>
      <c r="E6" s="8" t="inlineStr">
        <is>
          <t>Oct 20 workbook; not yet reconciled to the ledger</t>
        </is>
      </c>
    </row>
    <row r="7">
      <c r="A7" s="11" t="inlineStr">
        <is>
          <t>Finish the 7 financed homes</t>
        </is>
      </c>
      <c r="B7" s="13">
        <f>Inputs!$C$15</f>
        <v/>
      </c>
      <c r="C7" s="13">
        <f>Inputs!$D$15</f>
        <v/>
      </c>
      <c r="D7" s="13">
        <f>Inputs!$E$15</f>
        <v/>
      </c>
      <c r="E7" s="8" t="inlineStr"/>
    </row>
    <row r="8">
      <c r="A8" s="11" t="inlineStr">
        <is>
          <t>One new cabin, all in</t>
        </is>
      </c>
      <c r="B8" s="13">
        <f>(Inputs!$C$17+Inputs!$C$18)*(1+Inputs!$C$20+Inputs!$C$21)+Inputs!$C$19</f>
        <v/>
      </c>
      <c r="C8" s="13">
        <f>(Inputs!$D$17+Inputs!$D$18)*(1+Inputs!$D$20+Inputs!$D$21)+Inputs!$D$19</f>
        <v/>
      </c>
      <c r="D8" s="13">
        <f>(Inputs!$E$17+Inputs!$E$18)*(1+Inputs!$E$20+Inputs!$E$21)+Inputs!$E$19</f>
        <v/>
      </c>
      <c r="E8" s="8" t="inlineStr">
        <is>
          <t>Hard + lot work, soft costs, contingency, furniture</t>
        </is>
      </c>
    </row>
    <row r="9">
      <c r="A9" s="11" t="inlineStr">
        <is>
          <t xml:space="preserve">   per sf</t>
        </is>
      </c>
      <c r="B9" s="13">
        <f>B8/Inputs!$C$8</f>
        <v/>
      </c>
      <c r="C9" s="13">
        <f>C8/Inputs!$D$8</f>
        <v/>
      </c>
      <c r="D9" s="13">
        <f>D8/Inputs!$E$8</f>
        <v/>
      </c>
      <c r="E9" s="8" t="inlineStr"/>
    </row>
    <row r="10">
      <c r="A10" s="11" t="inlineStr">
        <is>
          <t>New cabins (17)</t>
        </is>
      </c>
      <c r="B10" s="13">
        <f>B8*Inputs!$C$7</f>
        <v/>
      </c>
      <c r="C10" s="13">
        <f>C8*Inputs!$D$7</f>
        <v/>
      </c>
      <c r="D10" s="13">
        <f>D8*Inputs!$E$7</f>
        <v/>
      </c>
      <c r="E10" s="8" t="inlineStr"/>
    </row>
    <row r="11">
      <c r="A11" s="11" t="inlineStr">
        <is>
          <t>Shared site work and predevelopment</t>
        </is>
      </c>
      <c r="B11" s="13">
        <f>Inputs!$C$23+Inputs!$C$24</f>
        <v/>
      </c>
      <c r="C11" s="13">
        <f>Inputs!$D$23+Inputs!$D$24</f>
        <v/>
      </c>
      <c r="D11" s="13">
        <f>Inputs!$E$23+Inputs!$E$24</f>
        <v/>
      </c>
      <c r="E11" s="8" t="inlineStr"/>
    </row>
    <row r="12">
      <c r="A12" s="11" t="inlineStr">
        <is>
          <t>Resort amenities: lean program</t>
        </is>
      </c>
      <c r="B12" s="13">
        <f>(Inputs!$C$36*Inputs!$C$37+Inputs!$C$38*Inputs!$C$39+Inputs!$C$30+Inputs!$C$31+Inputs!$C$40+Inputs!$C$41)*(1+Inputs!$C$43)+Inputs!$C$42</f>
        <v/>
      </c>
      <c r="C12" s="13">
        <f>(Inputs!$D$36*Inputs!$D$37+Inputs!$D$38*Inputs!$D$39+Inputs!$D$30+Inputs!$D$31+Inputs!$D$40+Inputs!$D$41)*(1+Inputs!$D$43)+Inputs!$D$42</f>
        <v/>
      </c>
      <c r="D12" s="13">
        <f>(Inputs!$E$36*Inputs!$E$37+Inputs!$E$38*Inputs!$E$39+Inputs!$E$30+Inputs!$E$31+Inputs!$E$40+Inputs!$E$41)*(1+Inputs!$E$43)+Inputs!$E$42</f>
        <v/>
      </c>
      <c r="E12" s="8" t="inlineStr">
        <is>
          <t>3,000 sf pavilion, 800 sf service kitchen, courts, trails</t>
        </is>
      </c>
    </row>
    <row r="13">
      <c r="A13" s="11" t="inlineStr">
        <is>
          <t>Resort amenities: full program</t>
        </is>
      </c>
      <c r="B13" s="13">
        <f>(Inputs!$C$26*Inputs!$C$27+Inputs!$C$28*Inputs!$C$29+Inputs!$C$30+Inputs!$C$31+Inputs!$C$32+Inputs!$C$33)*(1+Inputs!$C$43)+Inputs!$C$34</f>
        <v/>
      </c>
      <c r="C13" s="13">
        <f>(Inputs!$D$26*Inputs!$D$27+Inputs!$D$28*Inputs!$D$29+Inputs!$D$30+Inputs!$D$31+Inputs!$D$32+Inputs!$D$33)*(1+Inputs!$D$43)+Inputs!$D$34</f>
        <v/>
      </c>
      <c r="D13" s="13">
        <f>(Inputs!$E$26*Inputs!$E$27+Inputs!$E$28*Inputs!$E$29+Inputs!$E$30+Inputs!$E$31+Inputs!$E$32+Inputs!$E$33)*(1+Inputs!$E$43)+Inputs!$E$34</f>
        <v/>
      </c>
      <c r="E13" s="8" t="inlineStr">
        <is>
          <t>6,000 sf pavilion, 2,500 sf dining, courts, trails</t>
        </is>
      </c>
    </row>
    <row r="14">
      <c r="A14" s="11" t="inlineStr">
        <is>
          <t>Carry on new spend (share of it)</t>
        </is>
      </c>
      <c r="B14" s="14">
        <f>Inputs!$C$45*Inputs!$C$46*Inputs!$C$47/12+Inputs!$C$48</f>
        <v/>
      </c>
      <c r="C14" s="14">
        <f>Inputs!$D$45*Inputs!$D$46*Inputs!$D$47/12+Inputs!$D$48</f>
        <v/>
      </c>
      <c r="D14" s="14">
        <f>Inputs!$E$45*Inputs!$E$46*Inputs!$E$47/12+Inputs!$E$48</f>
        <v/>
      </c>
      <c r="E14" s="8" t="inlineStr">
        <is>
          <t>Interest on the average balance + loan fees</t>
        </is>
      </c>
    </row>
    <row r="15">
      <c r="A15" s="11" t="inlineStr">
        <is>
          <t>Carry on the existing loans until the homes sell</t>
        </is>
      </c>
      <c r="B15" s="13">
        <f>Inputs!$C$49*Inputs!$C$45*Inputs!$C$50/12+Inputs!$C$51*Inputs!$C$50/3</f>
        <v/>
      </c>
      <c r="C15" s="13">
        <f>Inputs!$D$49*Inputs!$D$45*Inputs!$D$50/12+Inputs!$D$51*Inputs!$D$50/3</f>
        <v/>
      </c>
      <c r="D15" s="13">
        <f>Inputs!$E$49*Inputs!$E$45*Inputs!$E$50/12+Inputs!$E$51*Inputs!$E$50/3</f>
        <v/>
      </c>
      <c r="E15" s="8" t="inlineStr"/>
    </row>
    <row r="16">
      <c r="A16" s="11" t="inlineStr">
        <is>
          <t>Marketing and unsold-inventory holding</t>
        </is>
      </c>
      <c r="B16" s="13">
        <f>Inputs!$C$54+Inputs!$C$55</f>
        <v/>
      </c>
      <c r="C16" s="13">
        <f>Inputs!$D$54+Inputs!$D$55</f>
        <v/>
      </c>
      <c r="D16" s="13">
        <f>Inputs!$E$54+Inputs!$E$55</f>
        <v/>
      </c>
      <c r="E16" s="8" t="inlineStr"/>
    </row>
    <row r="17">
      <c r="A17" s="11" t="inlineStr">
        <is>
          <t>Selling cost (commission + closing)</t>
        </is>
      </c>
      <c r="B17" s="14">
        <f>Inputs!$C$52+Inputs!$C$53</f>
        <v/>
      </c>
      <c r="C17" s="14">
        <f>Inputs!$D$52+Inputs!$D$53</f>
        <v/>
      </c>
      <c r="D17" s="14">
        <f>Inputs!$E$52+Inputs!$E$53</f>
        <v/>
      </c>
      <c r="E17" s="8" t="inlineStr"/>
    </row>
    <row r="19">
      <c r="A19" s="15" t="inlineStr">
        <is>
          <t>Program A: cabins only (amenities deferred)</t>
        </is>
      </c>
    </row>
    <row r="20">
      <c r="A20" s="11" t="inlineStr">
        <is>
          <t xml:space="preserve">   New spend</t>
        </is>
      </c>
      <c r="B20" s="13">
        <f>B7+B10+B11+0</f>
        <v/>
      </c>
      <c r="C20" s="13">
        <f>C7+C10+C11+0</f>
        <v/>
      </c>
      <c r="D20" s="13">
        <f>D7+D10+D11+0</f>
        <v/>
      </c>
      <c r="E20" s="8" t="inlineStr"/>
    </row>
    <row r="21">
      <c r="A21" s="16" t="inlineStr">
        <is>
          <t xml:space="preserve">   Total cost (to date + new + financing + selling fixed)</t>
        </is>
      </c>
      <c r="B21" s="17">
        <f>B6+B20*(1+B14)+B15+B16</f>
        <v/>
      </c>
      <c r="C21" s="17">
        <f>C6+C20*(1+C14)+C15+C16</f>
        <v/>
      </c>
      <c r="D21" s="17">
        <f>D6+D20*(1+D14)+D15+D16</f>
        <v/>
      </c>
      <c r="E21" s="8" t="inlineStr"/>
    </row>
    <row r="22">
      <c r="A22" s="4" t="inlineStr">
        <is>
          <t xml:space="preserve">   Break-even price per cabin</t>
        </is>
      </c>
      <c r="B22" s="18">
        <f>B21/(B5*(1-B17))</f>
        <v/>
      </c>
      <c r="C22" s="18">
        <f>C21/(C5*(1-C17))</f>
        <v/>
      </c>
      <c r="D22" s="18">
        <f>D21/(D5*(1-D17))</f>
        <v/>
      </c>
      <c r="E22" s="19" t="inlineStr"/>
    </row>
    <row r="23">
      <c r="A23" s="11" t="inlineStr">
        <is>
          <t xml:space="preserve">   Price for the margin target</t>
        </is>
      </c>
      <c r="B23" s="13">
        <f>B21*(1+Inputs!$C$58)/(B5*(1-B17))</f>
        <v/>
      </c>
      <c r="C23" s="13">
        <f>C21*(1+Inputs!$D$58)/(C5*(1-C17))</f>
        <v/>
      </c>
      <c r="D23" s="13">
        <f>D21*(1+Inputs!$E$58)/(D5*(1-D17))</f>
        <v/>
      </c>
      <c r="E23" s="8" t="inlineStr"/>
    </row>
    <row r="24">
      <c r="A24" s="11" t="inlineStr">
        <is>
          <t xml:space="preserve">   Profit if every cabin sells at the tested price</t>
        </is>
      </c>
      <c r="B24" s="13">
        <f>B5*Inputs!$C$57*(1-B17)-B21</f>
        <v/>
      </c>
      <c r="C24" s="13">
        <f>C5*Inputs!$D$57*(1-C17)-C21</f>
        <v/>
      </c>
      <c r="D24" s="13">
        <f>D5*Inputs!$E$57*(1-D17)-D21</f>
        <v/>
      </c>
      <c r="E24" s="8" t="inlineStr"/>
    </row>
    <row r="25">
      <c r="A25" s="11" t="inlineStr">
        <is>
          <t xml:space="preserve">   Break-even vs listed comparable cabins</t>
        </is>
      </c>
      <c r="B25" s="14">
        <f>B22/Inputs!$C$59-1</f>
        <v/>
      </c>
      <c r="C25" s="14">
        <f>C22/Inputs!$D$59-1</f>
        <v/>
      </c>
      <c r="D25" s="14">
        <f>D22/Inputs!$E$59-1</f>
        <v/>
      </c>
      <c r="E25" s="8" t="inlineStr"/>
    </row>
    <row r="27">
      <c r="A27" s="15" t="inlineStr">
        <is>
          <t>Program B: cabins + lean resort</t>
        </is>
      </c>
    </row>
    <row r="28">
      <c r="A28" s="11" t="inlineStr">
        <is>
          <t xml:space="preserve">   New spend</t>
        </is>
      </c>
      <c r="B28" s="13">
        <f>B7+B10+B11+B12</f>
        <v/>
      </c>
      <c r="C28" s="13">
        <f>C7+C10+C11+C12</f>
        <v/>
      </c>
      <c r="D28" s="13">
        <f>D7+D10+D11+D12</f>
        <v/>
      </c>
      <c r="E28" s="8" t="inlineStr"/>
    </row>
    <row r="29">
      <c r="A29" s="16" t="inlineStr">
        <is>
          <t xml:space="preserve">   Total cost (to date + new + financing + selling fixed)</t>
        </is>
      </c>
      <c r="B29" s="17">
        <f>B6+B28*(1+B14)+B15+B16</f>
        <v/>
      </c>
      <c r="C29" s="17">
        <f>C6+C28*(1+C14)+C15+C16</f>
        <v/>
      </c>
      <c r="D29" s="17">
        <f>D6+D28*(1+D14)+D15+D16</f>
        <v/>
      </c>
      <c r="E29" s="8" t="inlineStr"/>
    </row>
    <row r="30">
      <c r="A30" s="4" t="inlineStr">
        <is>
          <t xml:space="preserve">   Break-even price per cabin</t>
        </is>
      </c>
      <c r="B30" s="18">
        <f>B29/(B5*(1-B17))</f>
        <v/>
      </c>
      <c r="C30" s="18">
        <f>C29/(C5*(1-C17))</f>
        <v/>
      </c>
      <c r="D30" s="18">
        <f>D29/(D5*(1-D17))</f>
        <v/>
      </c>
      <c r="E30" s="19" t="inlineStr"/>
    </row>
    <row r="31">
      <c r="A31" s="11" t="inlineStr">
        <is>
          <t xml:space="preserve">   Price for the margin target</t>
        </is>
      </c>
      <c r="B31" s="13">
        <f>B29*(1+Inputs!$C$58)/(B5*(1-B17))</f>
        <v/>
      </c>
      <c r="C31" s="13">
        <f>C29*(1+Inputs!$D$58)/(C5*(1-C17))</f>
        <v/>
      </c>
      <c r="D31" s="13">
        <f>D29*(1+Inputs!$E$58)/(D5*(1-D17))</f>
        <v/>
      </c>
      <c r="E31" s="8" t="inlineStr"/>
    </row>
    <row r="32">
      <c r="A32" s="11" t="inlineStr">
        <is>
          <t xml:space="preserve">   Profit if every cabin sells at the tested price</t>
        </is>
      </c>
      <c r="B32" s="13">
        <f>B5*Inputs!$C$57*(1-B17)-B29</f>
        <v/>
      </c>
      <c r="C32" s="13">
        <f>C5*Inputs!$D$57*(1-C17)-C29</f>
        <v/>
      </c>
      <c r="D32" s="13">
        <f>D5*Inputs!$E$57*(1-D17)-D29</f>
        <v/>
      </c>
      <c r="E32" s="8" t="inlineStr"/>
    </row>
    <row r="33">
      <c r="A33" s="11" t="inlineStr">
        <is>
          <t xml:space="preserve">   Break-even vs listed comparable cabins</t>
        </is>
      </c>
      <c r="B33" s="14">
        <f>B30/Inputs!$C$59-1</f>
        <v/>
      </c>
      <c r="C33" s="14">
        <f>C30/Inputs!$D$59-1</f>
        <v/>
      </c>
      <c r="D33" s="14">
        <f>D30/Inputs!$E$59-1</f>
        <v/>
      </c>
      <c r="E33" s="8" t="inlineStr"/>
    </row>
    <row r="35">
      <c r="A35" s="15" t="inlineStr">
        <is>
          <t>Program C: cabins + full resort</t>
        </is>
      </c>
    </row>
    <row r="36">
      <c r="A36" s="11" t="inlineStr">
        <is>
          <t xml:space="preserve">   New spend</t>
        </is>
      </c>
      <c r="B36" s="13">
        <f>B7+B10+B11+B13</f>
        <v/>
      </c>
      <c r="C36" s="13">
        <f>C7+C10+C11+C13</f>
        <v/>
      </c>
      <c r="D36" s="13">
        <f>D7+D10+D11+D13</f>
        <v/>
      </c>
      <c r="E36" s="8" t="inlineStr"/>
    </row>
    <row r="37">
      <c r="A37" s="16" t="inlineStr">
        <is>
          <t xml:space="preserve">   Total cost (to date + new + financing + selling fixed)</t>
        </is>
      </c>
      <c r="B37" s="17">
        <f>B6+B36*(1+B14)+B15+B16</f>
        <v/>
      </c>
      <c r="C37" s="17">
        <f>C6+C36*(1+C14)+C15+C16</f>
        <v/>
      </c>
      <c r="D37" s="17">
        <f>D6+D36*(1+D14)+D15+D16</f>
        <v/>
      </c>
      <c r="E37" s="8" t="inlineStr"/>
    </row>
    <row r="38">
      <c r="A38" s="4" t="inlineStr">
        <is>
          <t xml:space="preserve">   Break-even price per cabin</t>
        </is>
      </c>
      <c r="B38" s="18">
        <f>B37/(B5*(1-B17))</f>
        <v/>
      </c>
      <c r="C38" s="18">
        <f>C37/(C5*(1-C17))</f>
        <v/>
      </c>
      <c r="D38" s="18">
        <f>D37/(D5*(1-D17))</f>
        <v/>
      </c>
      <c r="E38" s="19" t="inlineStr"/>
    </row>
    <row r="39">
      <c r="A39" s="11" t="inlineStr">
        <is>
          <t xml:space="preserve">   Price for the margin target</t>
        </is>
      </c>
      <c r="B39" s="13">
        <f>B37*(1+Inputs!$C$58)/(B5*(1-B17))</f>
        <v/>
      </c>
      <c r="C39" s="13">
        <f>C37*(1+Inputs!$D$58)/(C5*(1-C17))</f>
        <v/>
      </c>
      <c r="D39" s="13">
        <f>D37*(1+Inputs!$E$58)/(D5*(1-D17))</f>
        <v/>
      </c>
      <c r="E39" s="8" t="inlineStr"/>
    </row>
    <row r="40">
      <c r="A40" s="11" t="inlineStr">
        <is>
          <t xml:space="preserve">   Profit if every cabin sells at the tested price</t>
        </is>
      </c>
      <c r="B40" s="13">
        <f>B5*Inputs!$C$57*(1-B17)-B37</f>
        <v/>
      </c>
      <c r="C40" s="13">
        <f>C5*Inputs!$D$57*(1-C17)-C37</f>
        <v/>
      </c>
      <c r="D40" s="13">
        <f>D5*Inputs!$E$57*(1-D17)-D37</f>
        <v/>
      </c>
      <c r="E40" s="8" t="inlineStr"/>
    </row>
    <row r="41">
      <c r="A41" s="11" t="inlineStr">
        <is>
          <t xml:space="preserve">   Break-even vs listed comparable cabins</t>
        </is>
      </c>
      <c r="B41" s="14">
        <f>B38/Inputs!$C$59-1</f>
        <v/>
      </c>
      <c r="C41" s="14">
        <f>C38/Inputs!$D$59-1</f>
        <v/>
      </c>
      <c r="D41" s="14">
        <f>D38/Inputs!$E$59-1</f>
        <v/>
      </c>
      <c r="E41" s="8" t="inlineStr"/>
    </row>
    <row r="43">
      <c r="A43" s="16" t="inlineStr">
        <is>
          <t>Amenity budget a sale at the tested price can carry (break-even)</t>
        </is>
      </c>
      <c r="B43" s="17">
        <f>(B5*Inputs!$C$57*(1-B17)-B15-B16)/(1+B14)-B6-B7-B10-B11</f>
        <v/>
      </c>
      <c r="C43" s="17">
        <f>(C5*Inputs!$D$57*(1-C17)-C15-C16)/(1+C14)-C6-C7-C10-C11</f>
        <v/>
      </c>
      <c r="D43" s="17">
        <f>(D5*Inputs!$E$57*(1-D17)-D15-D16)/(1+D14)-D6-D7-D10-D11</f>
        <v/>
      </c>
      <c r="E43" s="8" t="inlineStr">
        <is>
          <t>Negative: the tested price does not cover the cabins and site work before any amenity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Resort operations: stabilized year (full program)</t>
        </is>
      </c>
    </row>
    <row r="2">
      <c r="A2" t="inlineStr">
        <is>
          <t>Venue, rental management and club dues. Catering is outsourced: food spend is not resort revenue. Downside / base / upside.</t>
        </is>
      </c>
    </row>
    <row r="4">
      <c r="A4" s="2" t="inlineStr">
        <is>
          <t>Line</t>
        </is>
      </c>
      <c r="B4" s="3" t="inlineStr">
        <is>
          <t>Downside</t>
        </is>
      </c>
      <c r="C4" s="3" t="inlineStr">
        <is>
          <t>Base</t>
        </is>
      </c>
      <c r="D4" s="3" t="inlineStr">
        <is>
          <t>Upside</t>
        </is>
      </c>
      <c r="E4" s="3" t="inlineStr">
        <is>
          <t>How</t>
        </is>
      </c>
    </row>
    <row r="5">
      <c r="A5" s="11" t="inlineStr">
        <is>
          <t>Venue fees (weddings + retreats)</t>
        </is>
      </c>
      <c r="B5" s="13">
        <f>Inputs!$C$61*Inputs!$C$62+Inputs!$C$63*Inputs!$C$64</f>
        <v/>
      </c>
      <c r="C5" s="13">
        <f>Inputs!$D$61*Inputs!$D$62+Inputs!$D$63*Inputs!$D$64</f>
        <v/>
      </c>
      <c r="D5" s="13">
        <f>Inputs!$E$61*Inputs!$E$62+Inputs!$E$63*Inputs!$E$64</f>
        <v/>
      </c>
      <c r="E5" s="8" t="inlineStr"/>
    </row>
    <row r="6">
      <c r="A6" s="11" t="inlineStr">
        <is>
          <t>Kitchen use, bar and rentals</t>
        </is>
      </c>
      <c r="B6" s="13">
        <f>(Inputs!$C$61+Inputs!$C$63)*Inputs!$C$65</f>
        <v/>
      </c>
      <c r="C6" s="13">
        <f>(Inputs!$D$61+Inputs!$D$63)*Inputs!$D$65</f>
        <v/>
      </c>
      <c r="D6" s="13">
        <f>(Inputs!$E$61+Inputs!$E$63)*Inputs!$E$65</f>
        <v/>
      </c>
      <c r="E6" s="8" t="inlineStr"/>
    </row>
    <row r="7">
      <c r="A7" s="11" t="inlineStr">
        <is>
          <t>Other property revenue</t>
        </is>
      </c>
      <c r="B7" s="13">
        <f>Inputs!$C$66</f>
        <v/>
      </c>
      <c r="C7" s="13">
        <f>Inputs!$D$66</f>
        <v/>
      </c>
      <c r="D7" s="13">
        <f>Inputs!$E$66</f>
        <v/>
      </c>
      <c r="E7" s="8" t="inlineStr"/>
    </row>
    <row r="8">
      <c r="A8" s="11" t="inlineStr">
        <is>
          <t>Rental management fees</t>
        </is>
      </c>
      <c r="B8" s="13">
        <f>(Inputs!$C$6+Inputs!$C$7)*Inputs!$C$67*Inputs!$C$68*Inputs!$C$69</f>
        <v/>
      </c>
      <c r="C8" s="13">
        <f>(Inputs!$D$6+Inputs!$D$7)*Inputs!$D$67*Inputs!$D$68*Inputs!$D$69</f>
        <v/>
      </c>
      <c r="D8" s="13">
        <f>(Inputs!$E$6+Inputs!$E$7)*Inputs!$E$67*Inputs!$E$68*Inputs!$E$69</f>
        <v/>
      </c>
      <c r="E8" s="8" t="inlineStr">
        <is>
          <t>Cabins in program x gross rent x fee</t>
        </is>
      </c>
    </row>
    <row r="9">
      <c r="A9" s="11" t="inlineStr">
        <is>
          <t>Owner club dues</t>
        </is>
      </c>
      <c r="B9" s="13">
        <f>(Inputs!$C$6+Inputs!$C$7)*Inputs!$C$71*12</f>
        <v/>
      </c>
      <c r="C9" s="13">
        <f>(Inputs!$D$6+Inputs!$D$7)*Inputs!$D$71*12</f>
        <v/>
      </c>
      <c r="D9" s="13">
        <f>(Inputs!$E$6+Inputs!$E$7)*Inputs!$E$71*12</f>
        <v/>
      </c>
      <c r="E9" s="8" t="inlineStr"/>
    </row>
    <row r="10">
      <c r="A10" s="16" t="inlineStr">
        <is>
          <t>Revenue</t>
        </is>
      </c>
      <c r="B10" s="17">
        <f>SUM(B5:B9)</f>
        <v/>
      </c>
      <c r="C10" s="17">
        <f>SUM(C5:C9)</f>
        <v/>
      </c>
      <c r="D10" s="17">
        <f>SUM(D5:D9)</f>
        <v/>
      </c>
      <c r="E10" s="8" t="inlineStr"/>
    </row>
    <row r="11">
      <c r="A11" s="11" t="inlineStr">
        <is>
          <t>Event variable cost</t>
        </is>
      </c>
      <c r="B11" s="13">
        <f>(B5+B6)*Inputs!$C$72</f>
        <v/>
      </c>
      <c r="C11" s="13">
        <f>(C5+C6)*Inputs!$D$72</f>
        <v/>
      </c>
      <c r="D11" s="13">
        <f>(D5+D6)*Inputs!$E$72</f>
        <v/>
      </c>
      <c r="E11" s="8" t="inlineStr"/>
    </row>
    <row r="12">
      <c r="A12" s="11" t="inlineStr">
        <is>
          <t>Other variable cost</t>
        </is>
      </c>
      <c r="B12" s="13">
        <f>B7*Inputs!$C$73</f>
        <v/>
      </c>
      <c r="C12" s="13">
        <f>C7*Inputs!$D$73</f>
        <v/>
      </c>
      <c r="D12" s="13">
        <f>D7*Inputs!$E$73</f>
        <v/>
      </c>
      <c r="E12" s="8" t="inlineStr"/>
    </row>
    <row r="13">
      <c r="A13" s="11" t="inlineStr">
        <is>
          <t>Rental program direct cost</t>
        </is>
      </c>
      <c r="B13" s="13">
        <f>B8*Inputs!$C$70</f>
        <v/>
      </c>
      <c r="C13" s="13">
        <f>C8*Inputs!$D$70</f>
        <v/>
      </c>
      <c r="D13" s="13">
        <f>D8*Inputs!$E$70</f>
        <v/>
      </c>
      <c r="E13" s="8" t="inlineStr"/>
    </row>
    <row r="14">
      <c r="A14" s="11" t="inlineStr">
        <is>
          <t>Fixed overhead</t>
        </is>
      </c>
      <c r="B14" s="13">
        <f>Inputs!$C$74</f>
        <v/>
      </c>
      <c r="C14" s="13">
        <f>Inputs!$D$74</f>
        <v/>
      </c>
      <c r="D14" s="13">
        <f>Inputs!$E$74</f>
        <v/>
      </c>
      <c r="E14" s="8" t="inlineStr"/>
    </row>
    <row r="15">
      <c r="A15" s="11" t="inlineStr">
        <is>
          <t>Replacement reserve</t>
        </is>
      </c>
      <c r="B15" s="13">
        <f>B10*Inputs!$C$75</f>
        <v/>
      </c>
      <c r="C15" s="13">
        <f>C10*Inputs!$D$75</f>
        <v/>
      </c>
      <c r="D15" s="13">
        <f>D10*Inputs!$E$75</f>
        <v/>
      </c>
      <c r="E15" s="8" t="inlineStr"/>
    </row>
    <row r="16">
      <c r="A16" s="16" t="inlineStr">
        <is>
          <t>Operating cost</t>
        </is>
      </c>
      <c r="B16" s="17">
        <f>SUM(B11:B15)</f>
        <v/>
      </c>
      <c r="C16" s="17">
        <f>SUM(C11:C15)</f>
        <v/>
      </c>
      <c r="D16" s="17">
        <f>SUM(D11:D15)</f>
        <v/>
      </c>
      <c r="E16" s="8" t="inlineStr"/>
    </row>
    <row r="17">
      <c r="A17" s="16" t="inlineStr">
        <is>
          <t>Net operating income</t>
        </is>
      </c>
      <c r="B17" s="17">
        <f>B10-B16</f>
        <v/>
      </c>
      <c r="C17" s="17">
        <f>C10-C16</f>
        <v/>
      </c>
      <c r="D17" s="17">
        <f>D10-D16</f>
        <v/>
      </c>
      <c r="E17" s="8" t="inlineStr"/>
    </row>
    <row r="18">
      <c r="A18" s="11" t="inlineStr">
        <is>
          <t>Value of the resort business at the cap rate</t>
        </is>
      </c>
      <c r="B18" s="13">
        <f>MAX(0,B17)/Inputs!$C$76</f>
        <v/>
      </c>
      <c r="C18" s="13">
        <f>MAX(0,C17)/Inputs!$D$76</f>
        <v/>
      </c>
      <c r="D18" s="13">
        <f>MAX(0,D17)/Inputs!$E$76</f>
        <v/>
      </c>
      <c r="E18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>
      <c r="A1" s="1" t="inlineStr">
        <is>
          <t>What a cabin owner can expect: one cabin, a year in the rental program</t>
        </is>
      </c>
    </row>
    <row r="2">
      <c r="A2" t="inlineStr">
        <is>
          <t>Before any mortgage and income tax. Illustration for discussion, not a promise of income.</t>
        </is>
      </c>
    </row>
    <row r="4">
      <c r="A4" s="2" t="inlineStr">
        <is>
          <t>Line</t>
        </is>
      </c>
      <c r="B4" s="3" t="inlineStr">
        <is>
          <t>Downside</t>
        </is>
      </c>
      <c r="C4" s="3" t="inlineStr">
        <is>
          <t>Base</t>
        </is>
      </c>
      <c r="D4" s="3" t="inlineStr">
        <is>
          <t>Upside</t>
        </is>
      </c>
      <c r="E4" s="3" t="inlineStr"/>
    </row>
    <row r="5">
      <c r="A5" t="inlineStr">
        <is>
          <t>Gross rent</t>
        </is>
      </c>
      <c r="B5" s="13">
        <f>Inputs!$C$68</f>
        <v/>
      </c>
      <c r="C5" s="13">
        <f>Inputs!$D$68</f>
        <v/>
      </c>
      <c r="D5" s="13">
        <f>Inputs!$E$68</f>
        <v/>
      </c>
    </row>
    <row r="6">
      <c r="A6" t="inlineStr">
        <is>
          <t>Management fee</t>
        </is>
      </c>
      <c r="B6" s="13">
        <f>-Inputs!$C$68*Inputs!$D$69</f>
        <v/>
      </c>
      <c r="C6" s="13">
        <f>-Inputs!$D$68*Inputs!$D$69</f>
        <v/>
      </c>
      <c r="D6" s="13">
        <f>-Inputs!$E$68*Inputs!$D$69</f>
        <v/>
      </c>
    </row>
    <row r="7">
      <c r="A7" t="inlineStr">
        <is>
          <t>Utilities, internet, pool service</t>
        </is>
      </c>
      <c r="B7" s="13">
        <f>-Inputs!$D$78</f>
        <v/>
      </c>
      <c r="C7" s="13">
        <f>-Inputs!$D$78</f>
        <v/>
      </c>
      <c r="D7" s="13">
        <f>-Inputs!$D$78</f>
        <v/>
      </c>
    </row>
    <row r="8">
      <c r="A8" t="inlineStr">
        <is>
          <t>Maintenance and supplies</t>
        </is>
      </c>
      <c r="B8" s="13">
        <f>-Inputs!$D$79</f>
        <v/>
      </c>
      <c r="C8" s="13">
        <f>-Inputs!$D$79</f>
        <v/>
      </c>
      <c r="D8" s="13">
        <f>-Inputs!$D$79</f>
        <v/>
      </c>
    </row>
    <row r="9">
      <c r="A9" t="inlineStr">
        <is>
          <t>Insurance</t>
        </is>
      </c>
      <c r="B9" s="13">
        <f>-Inputs!$D$80</f>
        <v/>
      </c>
      <c r="C9" s="13">
        <f>-Inputs!$D$80</f>
        <v/>
      </c>
      <c r="D9" s="13">
        <f>-Inputs!$D$80</f>
        <v/>
      </c>
    </row>
    <row r="10">
      <c r="A10" t="inlineStr">
        <is>
          <t>Property tax</t>
        </is>
      </c>
      <c r="B10" s="13">
        <f>-Inputs!$D$57*Inputs!$D$81</f>
        <v/>
      </c>
      <c r="C10" s="13">
        <f>-Inputs!$D$57*Inputs!$D$81</f>
        <v/>
      </c>
      <c r="D10" s="13">
        <f>-Inputs!$D$57*Inputs!$D$81</f>
        <v/>
      </c>
    </row>
    <row r="11">
      <c r="A11" t="inlineStr">
        <is>
          <t>Club dues</t>
        </is>
      </c>
      <c r="B11" s="13">
        <f>-Inputs!$D$71*12</f>
        <v/>
      </c>
      <c r="C11" s="13">
        <f>-Inputs!$D$71*12</f>
        <v/>
      </c>
      <c r="D11" s="13">
        <f>-Inputs!$D$71*12</f>
        <v/>
      </c>
    </row>
    <row r="12">
      <c r="A12" s="16" t="inlineStr">
        <is>
          <t>Net to owner</t>
        </is>
      </c>
      <c r="B12" s="17">
        <f>SUM(B5:B11)</f>
        <v/>
      </c>
      <c r="C12" s="17">
        <f>SUM(C5:C11)</f>
        <v/>
      </c>
      <c r="D12" s="17">
        <f>SUM(D5:D11)</f>
        <v/>
      </c>
    </row>
    <row r="13">
      <c r="A13" s="16" t="inlineStr">
        <is>
          <t>Cash yield on the purchase price</t>
        </is>
      </c>
      <c r="B13" s="20">
        <f>B12/Inputs!$C$57</f>
        <v/>
      </c>
      <c r="C13" s="20">
        <f>C12/Inputs!$D$57</f>
        <v/>
      </c>
      <c r="D13" s="20">
        <f>D12/Inputs!$E$57</f>
        <v/>
      </c>
    </row>
    <row r="15">
      <c r="A15" s="8" t="inlineStr">
        <is>
          <t>Only the gross rent changes across the columns; the fee, costs and dues are the base inputs.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Profit at each sale price (base costs)</t>
        </is>
      </c>
    </row>
    <row r="3">
      <c r="A3" s="2" t="inlineStr">
        <is>
          <t>Price per cabin</t>
        </is>
      </c>
      <c r="B3" s="3" t="inlineStr">
        <is>
          <t>A: cabins only</t>
        </is>
      </c>
      <c r="C3" s="3" t="inlineStr">
        <is>
          <t>B: lean resort</t>
        </is>
      </c>
      <c r="D3" s="3" t="inlineStr">
        <is>
          <t>C: full resort</t>
        </is>
      </c>
    </row>
    <row r="4">
      <c r="A4" s="13" t="n">
        <v>1000000</v>
      </c>
      <c r="B4" s="13">
        <f>Budget!$C$5*$A4*(1-Budget!$C$17)-Budget!$C$21</f>
        <v/>
      </c>
      <c r="C4" s="13">
        <f>Budget!$C$5*$A4*(1-Budget!$C$17)-Budget!$C$29</f>
        <v/>
      </c>
      <c r="D4" s="13">
        <f>Budget!$C$5*$A4*(1-Budget!$C$17)-Budget!$C$37</f>
        <v/>
      </c>
    </row>
    <row r="5">
      <c r="A5" s="13" t="n">
        <v>1050000</v>
      </c>
      <c r="B5" s="13">
        <f>Budget!$C$5*$A5*(1-Budget!$C$17)-Budget!$C$21</f>
        <v/>
      </c>
      <c r="C5" s="13">
        <f>Budget!$C$5*$A5*(1-Budget!$C$17)-Budget!$C$29</f>
        <v/>
      </c>
      <c r="D5" s="13">
        <f>Budget!$C$5*$A5*(1-Budget!$C$17)-Budget!$C$37</f>
        <v/>
      </c>
    </row>
    <row r="6">
      <c r="A6" s="13" t="n">
        <v>1100000</v>
      </c>
      <c r="B6" s="13">
        <f>Budget!$C$5*$A6*(1-Budget!$C$17)-Budget!$C$21</f>
        <v/>
      </c>
      <c r="C6" s="13">
        <f>Budget!$C$5*$A6*(1-Budget!$C$17)-Budget!$C$29</f>
        <v/>
      </c>
      <c r="D6" s="13">
        <f>Budget!$C$5*$A6*(1-Budget!$C$17)-Budget!$C$37</f>
        <v/>
      </c>
    </row>
    <row r="7">
      <c r="A7" s="13" t="n">
        <v>1150000</v>
      </c>
      <c r="B7" s="13">
        <f>Budget!$C$5*$A7*(1-Budget!$C$17)-Budget!$C$21</f>
        <v/>
      </c>
      <c r="C7" s="13">
        <f>Budget!$C$5*$A7*(1-Budget!$C$17)-Budget!$C$29</f>
        <v/>
      </c>
      <c r="D7" s="13">
        <f>Budget!$C$5*$A7*(1-Budget!$C$17)-Budget!$C$37</f>
        <v/>
      </c>
    </row>
    <row r="8">
      <c r="A8" s="13" t="n">
        <v>1200000</v>
      </c>
      <c r="B8" s="13">
        <f>Budget!$C$5*$A8*(1-Budget!$C$17)-Budget!$C$21</f>
        <v/>
      </c>
      <c r="C8" s="13">
        <f>Budget!$C$5*$A8*(1-Budget!$C$17)-Budget!$C$29</f>
        <v/>
      </c>
      <c r="D8" s="13">
        <f>Budget!$C$5*$A8*(1-Budget!$C$17)-Budget!$C$37</f>
        <v/>
      </c>
    </row>
    <row r="9">
      <c r="A9" s="13" t="n">
        <v>1250000</v>
      </c>
      <c r="B9" s="13">
        <f>Budget!$C$5*$A9*(1-Budget!$C$17)-Budget!$C$21</f>
        <v/>
      </c>
      <c r="C9" s="13">
        <f>Budget!$C$5*$A9*(1-Budget!$C$17)-Budget!$C$29</f>
        <v/>
      </c>
      <c r="D9" s="13">
        <f>Budget!$C$5*$A9*(1-Budget!$C$17)-Budget!$C$37</f>
        <v/>
      </c>
    </row>
    <row r="10">
      <c r="A10" s="13" t="n">
        <v>1300000</v>
      </c>
      <c r="B10" s="13">
        <f>Budget!$C$5*$A10*(1-Budget!$C$17)-Budget!$C$21</f>
        <v/>
      </c>
      <c r="C10" s="13">
        <f>Budget!$C$5*$A10*(1-Budget!$C$17)-Budget!$C$29</f>
        <v/>
      </c>
      <c r="D10" s="13">
        <f>Budget!$C$5*$A10*(1-Budget!$C$17)-Budget!$C$37</f>
        <v/>
      </c>
    </row>
    <row r="11">
      <c r="A11" s="13" t="n">
        <v>1350000</v>
      </c>
      <c r="B11" s="13">
        <f>Budget!$C$5*$A11*(1-Budget!$C$17)-Budget!$C$21</f>
        <v/>
      </c>
      <c r="C11" s="13">
        <f>Budget!$C$5*$A11*(1-Budget!$C$17)-Budget!$C$29</f>
        <v/>
      </c>
      <c r="D11" s="13">
        <f>Budget!$C$5*$A11*(1-Budget!$C$17)-Budget!$C$37</f>
        <v/>
      </c>
    </row>
    <row r="12">
      <c r="A12" s="13" t="n">
        <v>1400000</v>
      </c>
      <c r="B12" s="13">
        <f>Budget!$C$5*$A12*(1-Budget!$C$17)-Budget!$C$21</f>
        <v/>
      </c>
      <c r="C12" s="13">
        <f>Budget!$C$5*$A12*(1-Budget!$C$17)-Budget!$C$29</f>
        <v/>
      </c>
      <c r="D12" s="13">
        <f>Budget!$C$5*$A12*(1-Budget!$C$17)-Budget!$C$37</f>
        <v/>
      </c>
    </row>
    <row r="13">
      <c r="A13" s="13" t="n">
        <v>1450000</v>
      </c>
      <c r="B13" s="13">
        <f>Budget!$C$5*$A13*(1-Budget!$C$17)-Budget!$C$21</f>
        <v/>
      </c>
      <c r="C13" s="13">
        <f>Budget!$C$5*$A13*(1-Budget!$C$17)-Budget!$C$29</f>
        <v/>
      </c>
      <c r="D13" s="13">
        <f>Budget!$C$5*$A13*(1-Budget!$C$17)-Budget!$C$37</f>
        <v/>
      </c>
    </row>
    <row r="14">
      <c r="A14" s="13" t="n">
        <v>1500000</v>
      </c>
      <c r="B14" s="13">
        <f>Budget!$C$5*$A14*(1-Budget!$C$17)-Budget!$C$21</f>
        <v/>
      </c>
      <c r="C14" s="13">
        <f>Budget!$C$5*$A14*(1-Budget!$C$17)-Budget!$C$29</f>
        <v/>
      </c>
      <c r="D14" s="13">
        <f>Budget!$C$5*$A14*(1-Budget!$C$17)-Budget!$C$37</f>
        <v/>
      </c>
    </row>
    <row r="15">
      <c r="A15" s="13" t="n">
        <v>1550000</v>
      </c>
      <c r="B15" s="13">
        <f>Budget!$C$5*$A15*(1-Budget!$C$17)-Budget!$C$21</f>
        <v/>
      </c>
      <c r="C15" s="13">
        <f>Budget!$C$5*$A15*(1-Budget!$C$17)-Budget!$C$29</f>
        <v/>
      </c>
      <c r="D15" s="13">
        <f>Budget!$C$5*$A15*(1-Budget!$C$17)-Budget!$C$37</f>
        <v/>
      </c>
    </row>
    <row r="16">
      <c r="A16" s="13" t="n">
        <v>1600000</v>
      </c>
      <c r="B16" s="13">
        <f>Budget!$C$5*$A16*(1-Budget!$C$17)-Budget!$C$21</f>
        <v/>
      </c>
      <c r="C16" s="13">
        <f>Budget!$C$5*$A16*(1-Budget!$C$17)-Budget!$C$29</f>
        <v/>
      </c>
      <c r="D16" s="13">
        <f>Budget!$C$5*$A16*(1-Budget!$C$17)-Budget!$C$37</f>
        <v/>
      </c>
    </row>
    <row r="17">
      <c r="A17" s="13" t="n">
        <v>1650000</v>
      </c>
      <c r="B17" s="13">
        <f>Budget!$C$5*$A17*(1-Budget!$C$17)-Budget!$C$21</f>
        <v/>
      </c>
      <c r="C17" s="13">
        <f>Budget!$C$5*$A17*(1-Budget!$C$17)-Budget!$C$29</f>
        <v/>
      </c>
      <c r="D17" s="13">
        <f>Budget!$C$5*$A17*(1-Budget!$C$17)-Budget!$C$37</f>
        <v/>
      </c>
    </row>
    <row r="18">
      <c r="A18" s="13" t="n">
        <v>1700000</v>
      </c>
      <c r="B18" s="13">
        <f>Budget!$C$5*$A18*(1-Budget!$C$17)-Budget!$C$21</f>
        <v/>
      </c>
      <c r="C18" s="13">
        <f>Budget!$C$5*$A18*(1-Budget!$C$17)-Budget!$C$29</f>
        <v/>
      </c>
      <c r="D18" s="13">
        <f>Budget!$C$5*$A18*(1-Budget!$C$17)-Budget!$C$37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</cols>
  <sheetData>
    <row r="1">
      <c r="A1" s="1" t="inlineStr">
        <is>
          <t>Quarterly cash flow, base costs, at the tested price</t>
        </is>
      </c>
    </row>
    <row r="3">
      <c r="A3" t="inlineStr">
        <is>
          <t>Program (A, B or C):</t>
        </is>
      </c>
      <c r="B3" s="21" t="inlineStr">
        <is>
          <t>C</t>
        </is>
      </c>
    </row>
    <row r="4">
      <c r="A4" t="inlineStr">
        <is>
          <t>Timing rows (yellow) are the share of each cost spent, or cabins sold, in each quarter. Existing loans are repaid from the first home sales.</t>
        </is>
      </c>
    </row>
    <row r="6">
      <c r="A6" s="2" t="inlineStr">
        <is>
          <t>Line</t>
        </is>
      </c>
      <c r="B6" s="3" t="inlineStr">
        <is>
          <t>2027 Q1</t>
        </is>
      </c>
      <c r="C6" s="3" t="inlineStr">
        <is>
          <t>2027 Q2</t>
        </is>
      </c>
      <c r="D6" s="3" t="inlineStr">
        <is>
          <t>2027 Q3</t>
        </is>
      </c>
      <c r="E6" s="3" t="inlineStr">
        <is>
          <t>2027 Q4</t>
        </is>
      </c>
      <c r="F6" s="3" t="inlineStr">
        <is>
          <t>2028 Q1</t>
        </is>
      </c>
      <c r="G6" s="3" t="inlineStr">
        <is>
          <t>2028 Q2</t>
        </is>
      </c>
      <c r="H6" s="3" t="inlineStr">
        <is>
          <t>2028 Q3</t>
        </is>
      </c>
      <c r="I6" s="3" t="inlineStr">
        <is>
          <t>2028 Q4</t>
        </is>
      </c>
      <c r="J6" s="3" t="inlineStr">
        <is>
          <t>2029 Q1</t>
        </is>
      </c>
      <c r="K6" s="3" t="inlineStr">
        <is>
          <t>2029 Q2</t>
        </is>
      </c>
      <c r="L6" s="3" t="inlineStr">
        <is>
          <t>2029 Q3</t>
        </is>
      </c>
      <c r="M6" s="3" t="inlineStr">
        <is>
          <t>2029 Q4</t>
        </is>
      </c>
      <c r="N6" s="3" t="inlineStr">
        <is>
          <t>2030 Q1</t>
        </is>
      </c>
      <c r="O6" s="3" t="inlineStr">
        <is>
          <t>2030 Q2</t>
        </is>
      </c>
      <c r="P6" s="3" t="inlineStr">
        <is>
          <t>2030 Q3</t>
        </is>
      </c>
      <c r="Q6" s="3" t="inlineStr">
        <is>
          <t>2030 Q4</t>
        </is>
      </c>
      <c r="R6" s="3" t="inlineStr">
        <is>
          <t>Total</t>
        </is>
      </c>
    </row>
    <row r="7">
      <c r="A7" t="inlineStr">
        <is>
          <t>Finish 7 homes (share)</t>
        </is>
      </c>
      <c r="B7" s="22" t="n">
        <v>0.5</v>
      </c>
      <c r="C7" s="22" t="n">
        <v>0.5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3">
        <f>SUM(B7:Q7)</f>
        <v/>
      </c>
    </row>
    <row r="8">
      <c r="A8" t="inlineStr">
        <is>
          <t>Shared site work (share)</t>
        </is>
      </c>
      <c r="B8" s="22" t="n">
        <v>0.2</v>
      </c>
      <c r="C8" s="22" t="n">
        <v>0.3</v>
      </c>
      <c r="D8" s="22" t="n">
        <v>0.3</v>
      </c>
      <c r="E8" s="22" t="n">
        <v>0.2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3">
        <f>SUM(B8:Q8)</f>
        <v/>
      </c>
    </row>
    <row r="9">
      <c r="A9" t="inlineStr">
        <is>
          <t>Amenities (share)</t>
        </is>
      </c>
      <c r="B9" s="22" t="n">
        <v>0</v>
      </c>
      <c r="C9" s="22" t="n">
        <v>0.1</v>
      </c>
      <c r="D9" s="22" t="n">
        <v>0.2</v>
      </c>
      <c r="E9" s="22" t="n">
        <v>0.25</v>
      </c>
      <c r="F9" s="22" t="n">
        <v>0.25</v>
      </c>
      <c r="G9" s="22" t="n">
        <v>0.2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>
        <f>SUM(B9:Q9)</f>
        <v/>
      </c>
    </row>
    <row r="10">
      <c r="A10" t="inlineStr">
        <is>
          <t>New cabins (share)</t>
        </is>
      </c>
      <c r="B10" s="22" t="n">
        <v>0</v>
      </c>
      <c r="C10" s="22" t="n">
        <v>0.06</v>
      </c>
      <c r="D10" s="22" t="n">
        <v>0.12</v>
      </c>
      <c r="E10" s="22" t="n">
        <v>0.12</v>
      </c>
      <c r="F10" s="22" t="n">
        <v>0.12</v>
      </c>
      <c r="G10" s="22" t="n">
        <v>0.12</v>
      </c>
      <c r="H10" s="22" t="n">
        <v>0.12</v>
      </c>
      <c r="I10" s="22" t="n">
        <v>0.12</v>
      </c>
      <c r="J10" s="22" t="n">
        <v>0.12</v>
      </c>
      <c r="K10" s="22" t="n">
        <v>0.1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3">
        <f>SUM(B10:Q10)</f>
        <v/>
      </c>
    </row>
    <row r="11">
      <c r="A11" t="inlineStr">
        <is>
          <t>Financed homes sold (count)</t>
        </is>
      </c>
      <c r="B11" s="24" t="n">
        <v>2</v>
      </c>
      <c r="C11" s="24" t="n">
        <v>3</v>
      </c>
      <c r="D11" s="24" t="n">
        <v>2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4" t="n">
        <v>0</v>
      </c>
      <c r="K11" s="24" t="n">
        <v>0</v>
      </c>
      <c r="L11" s="24" t="n">
        <v>0</v>
      </c>
      <c r="M11" s="24" t="n">
        <v>0</v>
      </c>
      <c r="N11" s="24" t="n">
        <v>0</v>
      </c>
      <c r="O11" s="24" t="n">
        <v>0</v>
      </c>
      <c r="P11" s="24" t="n">
        <v>0</v>
      </c>
      <c r="Q11" s="24" t="n">
        <v>0</v>
      </c>
      <c r="R11" s="25">
        <f>SUM(B11:Q11)</f>
        <v/>
      </c>
    </row>
    <row r="12">
      <c r="A12" t="inlineStr">
        <is>
          <t>New cabins sold (count)</t>
        </is>
      </c>
      <c r="B12" s="24" t="n">
        <v>0</v>
      </c>
      <c r="C12" s="24" t="n">
        <v>0</v>
      </c>
      <c r="D12" s="24" t="n">
        <v>0</v>
      </c>
      <c r="E12" s="24" t="n">
        <v>1</v>
      </c>
      <c r="F12" s="24" t="n">
        <v>2</v>
      </c>
      <c r="G12" s="24" t="n">
        <v>2</v>
      </c>
      <c r="H12" s="24" t="n">
        <v>2</v>
      </c>
      <c r="I12" s="24" t="n">
        <v>2</v>
      </c>
      <c r="J12" s="24" t="n">
        <v>2</v>
      </c>
      <c r="K12" s="24" t="n">
        <v>2</v>
      </c>
      <c r="L12" s="24" t="n">
        <v>2</v>
      </c>
      <c r="M12" s="24" t="n">
        <v>2</v>
      </c>
      <c r="N12" s="24" t="n">
        <v>0</v>
      </c>
      <c r="O12" s="24" t="n">
        <v>0</v>
      </c>
      <c r="P12" s="24" t="n">
        <v>0</v>
      </c>
      <c r="Q12" s="24" t="n">
        <v>0</v>
      </c>
      <c r="R12" s="25">
        <f>SUM(B12:Q12)</f>
        <v/>
      </c>
    </row>
    <row r="14">
      <c r="A14" s="11" t="inlineStr">
        <is>
          <t>Development spend</t>
        </is>
      </c>
      <c r="B14" s="13">
        <f>-(B7*Budget!$C$7+B8*Budget!$C$11+B9*IF($B$3="A",0,IF($B$3="B",Budget!$C$12,Budget!$C$13))+B10*Budget!$C$10)</f>
        <v/>
      </c>
      <c r="C14" s="13">
        <f>-(C7*Budget!$C$7+C8*Budget!$C$11+C9*IF($B$3="A",0,IF($B$3="B",Budget!$C$12,Budget!$C$13))+C10*Budget!$C$10)</f>
        <v/>
      </c>
      <c r="D14" s="13">
        <f>-(D7*Budget!$C$7+D8*Budget!$C$11+D9*IF($B$3="A",0,IF($B$3="B",Budget!$C$12,Budget!$C$13))+D10*Budget!$C$10)</f>
        <v/>
      </c>
      <c r="E14" s="13">
        <f>-(E7*Budget!$C$7+E8*Budget!$C$11+E9*IF($B$3="A",0,IF($B$3="B",Budget!$C$12,Budget!$C$13))+E10*Budget!$C$10)</f>
        <v/>
      </c>
      <c r="F14" s="13">
        <f>-(F7*Budget!$C$7+F8*Budget!$C$11+F9*IF($B$3="A",0,IF($B$3="B",Budget!$C$12,Budget!$C$13))+F10*Budget!$C$10)</f>
        <v/>
      </c>
      <c r="G14" s="13">
        <f>-(G7*Budget!$C$7+G8*Budget!$C$11+G9*IF($B$3="A",0,IF($B$3="B",Budget!$C$12,Budget!$C$13))+G10*Budget!$C$10)</f>
        <v/>
      </c>
      <c r="H14" s="13">
        <f>-(H7*Budget!$C$7+H8*Budget!$C$11+H9*IF($B$3="A",0,IF($B$3="B",Budget!$C$12,Budget!$C$13))+H10*Budget!$C$10)</f>
        <v/>
      </c>
      <c r="I14" s="13">
        <f>-(I7*Budget!$C$7+I8*Budget!$C$11+I9*IF($B$3="A",0,IF($B$3="B",Budget!$C$12,Budget!$C$13))+I10*Budget!$C$10)</f>
        <v/>
      </c>
      <c r="J14" s="13">
        <f>-(J7*Budget!$C$7+J8*Budget!$C$11+J9*IF($B$3="A",0,IF($B$3="B",Budget!$C$12,Budget!$C$13))+J10*Budget!$C$10)</f>
        <v/>
      </c>
      <c r="K14" s="13">
        <f>-(K7*Budget!$C$7+K8*Budget!$C$11+K9*IF($B$3="A",0,IF($B$3="B",Budget!$C$12,Budget!$C$13))+K10*Budget!$C$10)</f>
        <v/>
      </c>
      <c r="L14" s="13">
        <f>-(L7*Budget!$C$7+L8*Budget!$C$11+L9*IF($B$3="A",0,IF($B$3="B",Budget!$C$12,Budget!$C$13))+L10*Budget!$C$10)</f>
        <v/>
      </c>
      <c r="M14" s="13">
        <f>-(M7*Budget!$C$7+M8*Budget!$C$11+M9*IF($B$3="A",0,IF($B$3="B",Budget!$C$12,Budget!$C$13))+M10*Budget!$C$10)</f>
        <v/>
      </c>
      <c r="N14" s="13">
        <f>-(N7*Budget!$C$7+N8*Budget!$C$11+N9*IF($B$3="A",0,IF($B$3="B",Budget!$C$12,Budget!$C$13))+N10*Budget!$C$10)</f>
        <v/>
      </c>
      <c r="O14" s="13">
        <f>-(O7*Budget!$C$7+O8*Budget!$C$11+O9*IF($B$3="A",0,IF($B$3="B",Budget!$C$12,Budget!$C$13))+O10*Budget!$C$10)</f>
        <v/>
      </c>
      <c r="P14" s="13">
        <f>-(P7*Budget!$C$7+P8*Budget!$C$11+P9*IF($B$3="A",0,IF($B$3="B",Budget!$C$12,Budget!$C$13))+P10*Budget!$C$10)</f>
        <v/>
      </c>
      <c r="Q14" s="13">
        <f>-(Q7*Budget!$C$7+Q8*Budget!$C$11+Q9*IF($B$3="A",0,IF($B$3="B",Budget!$C$12,Budget!$C$13))+Q10*Budget!$C$10)</f>
        <v/>
      </c>
      <c r="R14" s="13">
        <f>SUM(B14:Q14)</f>
        <v/>
      </c>
    </row>
    <row r="15">
      <c r="A15" s="11" t="inlineStr">
        <is>
          <t>Financing (spread with spend)</t>
        </is>
      </c>
      <c r="B15" s="13">
        <f>B14*Budget!$C$14</f>
        <v/>
      </c>
      <c r="C15" s="13">
        <f>C14*Budget!$C$14</f>
        <v/>
      </c>
      <c r="D15" s="13">
        <f>D14*Budget!$C$14</f>
        <v/>
      </c>
      <c r="E15" s="13">
        <f>E14*Budget!$C$14</f>
        <v/>
      </c>
      <c r="F15" s="13">
        <f>F14*Budget!$C$14</f>
        <v/>
      </c>
      <c r="G15" s="13">
        <f>G14*Budget!$C$14</f>
        <v/>
      </c>
      <c r="H15" s="13">
        <f>H14*Budget!$C$14</f>
        <v/>
      </c>
      <c r="I15" s="13">
        <f>I14*Budget!$C$14</f>
        <v/>
      </c>
      <c r="J15" s="13">
        <f>J14*Budget!$C$14</f>
        <v/>
      </c>
      <c r="K15" s="13">
        <f>K14*Budget!$C$14</f>
        <v/>
      </c>
      <c r="L15" s="13">
        <f>L14*Budget!$C$14</f>
        <v/>
      </c>
      <c r="M15" s="13">
        <f>M14*Budget!$C$14</f>
        <v/>
      </c>
      <c r="N15" s="13">
        <f>N14*Budget!$C$14</f>
        <v/>
      </c>
      <c r="O15" s="13">
        <f>O14*Budget!$C$14</f>
        <v/>
      </c>
      <c r="P15" s="13">
        <f>P14*Budget!$C$14</f>
        <v/>
      </c>
      <c r="Q15" s="13">
        <f>Q14*Budget!$C$14</f>
        <v/>
      </c>
      <c r="R15" s="13">
        <f>SUM(B15:Q15)</f>
        <v/>
      </c>
    </row>
    <row r="16">
      <c r="A16" s="11" t="inlineStr">
        <is>
          <t>Carry on existing loans (while open)</t>
        </is>
      </c>
      <c r="B16" s="13">
        <f>-IF(SUM($B11:B11)-B11&lt;Inputs!$D$6,Budget!$C$15/ROUNDUP(Inputs!$D$50/3,0),0)</f>
        <v/>
      </c>
      <c r="C16" s="13">
        <f>-IF(SUM($B11:C11)-C11&lt;Inputs!$D$6,Budget!$C$15/ROUNDUP(Inputs!$D$50/3,0),0)</f>
        <v/>
      </c>
      <c r="D16" s="13">
        <f>-IF(SUM($B11:D11)-D11&lt;Inputs!$D$6,Budget!$C$15/ROUNDUP(Inputs!$D$50/3,0),0)</f>
        <v/>
      </c>
      <c r="E16" s="13">
        <f>-IF(SUM($B11:E11)-E11&lt;Inputs!$D$6,Budget!$C$15/ROUNDUP(Inputs!$D$50/3,0),0)</f>
        <v/>
      </c>
      <c r="F16" s="13">
        <f>-IF(SUM($B11:F11)-F11&lt;Inputs!$D$6,Budget!$C$15/ROUNDUP(Inputs!$D$50/3,0),0)</f>
        <v/>
      </c>
      <c r="G16" s="13">
        <f>-IF(SUM($B11:G11)-G11&lt;Inputs!$D$6,Budget!$C$15/ROUNDUP(Inputs!$D$50/3,0),0)</f>
        <v/>
      </c>
      <c r="H16" s="13">
        <f>-IF(SUM($B11:H11)-H11&lt;Inputs!$D$6,Budget!$C$15/ROUNDUP(Inputs!$D$50/3,0),0)</f>
        <v/>
      </c>
      <c r="I16" s="13">
        <f>-IF(SUM($B11:I11)-I11&lt;Inputs!$D$6,Budget!$C$15/ROUNDUP(Inputs!$D$50/3,0),0)</f>
        <v/>
      </c>
      <c r="J16" s="13">
        <f>-IF(SUM($B11:J11)-J11&lt;Inputs!$D$6,Budget!$C$15/ROUNDUP(Inputs!$D$50/3,0),0)</f>
        <v/>
      </c>
      <c r="K16" s="13">
        <f>-IF(SUM($B11:K11)-K11&lt;Inputs!$D$6,Budget!$C$15/ROUNDUP(Inputs!$D$50/3,0),0)</f>
        <v/>
      </c>
      <c r="L16" s="13">
        <f>-IF(SUM($B11:L11)-L11&lt;Inputs!$D$6,Budget!$C$15/ROUNDUP(Inputs!$D$50/3,0),0)</f>
        <v/>
      </c>
      <c r="M16" s="13">
        <f>-IF(SUM($B11:M11)-M11&lt;Inputs!$D$6,Budget!$C$15/ROUNDUP(Inputs!$D$50/3,0),0)</f>
        <v/>
      </c>
      <c r="N16" s="13">
        <f>-IF(SUM($B11:N11)-N11&lt;Inputs!$D$6,Budget!$C$15/ROUNDUP(Inputs!$D$50/3,0),0)</f>
        <v/>
      </c>
      <c r="O16" s="13">
        <f>-IF(SUM($B11:O11)-O11&lt;Inputs!$D$6,Budget!$C$15/ROUNDUP(Inputs!$D$50/3,0),0)</f>
        <v/>
      </c>
      <c r="P16" s="13">
        <f>-IF(SUM($B11:P11)-P11&lt;Inputs!$D$6,Budget!$C$15/ROUNDUP(Inputs!$D$50/3,0),0)</f>
        <v/>
      </c>
      <c r="Q16" s="13">
        <f>-IF(SUM($B11:Q11)-Q11&lt;Inputs!$D$6,Budget!$C$15/ROUNDUP(Inputs!$D$50/3,0),0)</f>
        <v/>
      </c>
      <c r="R16" s="13">
        <f>SUM(B16:Q16)</f>
        <v/>
      </c>
    </row>
    <row r="17">
      <c r="A17" s="11" t="inlineStr">
        <is>
          <t>Marketing and holding</t>
        </is>
      </c>
      <c r="B17" s="13">
        <f>-Budget!$C$16/16</f>
        <v/>
      </c>
      <c r="C17" s="13">
        <f>-Budget!$C$16/16</f>
        <v/>
      </c>
      <c r="D17" s="13">
        <f>-Budget!$C$16/16</f>
        <v/>
      </c>
      <c r="E17" s="13">
        <f>-Budget!$C$16/16</f>
        <v/>
      </c>
      <c r="F17" s="13">
        <f>-Budget!$C$16/16</f>
        <v/>
      </c>
      <c r="G17" s="13">
        <f>-Budget!$C$16/16</f>
        <v/>
      </c>
      <c r="H17" s="13">
        <f>-Budget!$C$16/16</f>
        <v/>
      </c>
      <c r="I17" s="13">
        <f>-Budget!$C$16/16</f>
        <v/>
      </c>
      <c r="J17" s="13">
        <f>-Budget!$C$16/16</f>
        <v/>
      </c>
      <c r="K17" s="13">
        <f>-Budget!$C$16/16</f>
        <v/>
      </c>
      <c r="L17" s="13">
        <f>-Budget!$C$16/16</f>
        <v/>
      </c>
      <c r="M17" s="13">
        <f>-Budget!$C$16/16</f>
        <v/>
      </c>
      <c r="N17" s="13">
        <f>-Budget!$C$16/16</f>
        <v/>
      </c>
      <c r="O17" s="13">
        <f>-Budget!$C$16/16</f>
        <v/>
      </c>
      <c r="P17" s="13">
        <f>-Budget!$C$16/16</f>
        <v/>
      </c>
      <c r="Q17" s="13">
        <f>-Budget!$C$16/16</f>
        <v/>
      </c>
      <c r="R17" s="13">
        <f>SUM(B17:Q17)</f>
        <v/>
      </c>
    </row>
    <row r="18">
      <c r="A18" s="11" t="inlineStr">
        <is>
          <t>Repay existing loans (as each financed home sells)</t>
        </is>
      </c>
      <c r="B18" s="13">
        <f>-B11/Inputs!$D$6*Inputs!$D$49</f>
        <v/>
      </c>
      <c r="C18" s="13">
        <f>-C11/Inputs!$D$6*Inputs!$D$49</f>
        <v/>
      </c>
      <c r="D18" s="13">
        <f>-D11/Inputs!$D$6*Inputs!$D$49</f>
        <v/>
      </c>
      <c r="E18" s="13">
        <f>-E11/Inputs!$D$6*Inputs!$D$49</f>
        <v/>
      </c>
      <c r="F18" s="13">
        <f>-F11/Inputs!$D$6*Inputs!$D$49</f>
        <v/>
      </c>
      <c r="G18" s="13">
        <f>-G11/Inputs!$D$6*Inputs!$D$49</f>
        <v/>
      </c>
      <c r="H18" s="13">
        <f>-H11/Inputs!$D$6*Inputs!$D$49</f>
        <v/>
      </c>
      <c r="I18" s="13">
        <f>-I11/Inputs!$D$6*Inputs!$D$49</f>
        <v/>
      </c>
      <c r="J18" s="13">
        <f>-J11/Inputs!$D$6*Inputs!$D$49</f>
        <v/>
      </c>
      <c r="K18" s="13">
        <f>-K11/Inputs!$D$6*Inputs!$D$49</f>
        <v/>
      </c>
      <c r="L18" s="13">
        <f>-L11/Inputs!$D$6*Inputs!$D$49</f>
        <v/>
      </c>
      <c r="M18" s="13">
        <f>-M11/Inputs!$D$6*Inputs!$D$49</f>
        <v/>
      </c>
      <c r="N18" s="13">
        <f>-N11/Inputs!$D$6*Inputs!$D$49</f>
        <v/>
      </c>
      <c r="O18" s="13">
        <f>-O11/Inputs!$D$6*Inputs!$D$49</f>
        <v/>
      </c>
      <c r="P18" s="13">
        <f>-P11/Inputs!$D$6*Inputs!$D$49</f>
        <v/>
      </c>
      <c r="Q18" s="13">
        <f>-Q11/Inputs!$D$6*Inputs!$D$49</f>
        <v/>
      </c>
      <c r="R18" s="13">
        <f>SUM(B18:Q18)</f>
        <v/>
      </c>
    </row>
    <row r="19">
      <c r="A19" s="11" t="inlineStr">
        <is>
          <t>Net sales proceeds</t>
        </is>
      </c>
      <c r="B19" s="13">
        <f>(B11+B12)*Inputs!$D$57*(1-Budget!$C$17)</f>
        <v/>
      </c>
      <c r="C19" s="13">
        <f>(C11+C12)*Inputs!$D$57*(1-Budget!$C$17)</f>
        <v/>
      </c>
      <c r="D19" s="13">
        <f>(D11+D12)*Inputs!$D$57*(1-Budget!$C$17)</f>
        <v/>
      </c>
      <c r="E19" s="13">
        <f>(E11+E12)*Inputs!$D$57*(1-Budget!$C$17)</f>
        <v/>
      </c>
      <c r="F19" s="13">
        <f>(F11+F12)*Inputs!$D$57*(1-Budget!$C$17)</f>
        <v/>
      </c>
      <c r="G19" s="13">
        <f>(G11+G12)*Inputs!$D$57*(1-Budget!$C$17)</f>
        <v/>
      </c>
      <c r="H19" s="13">
        <f>(H11+H12)*Inputs!$D$57*(1-Budget!$C$17)</f>
        <v/>
      </c>
      <c r="I19" s="13">
        <f>(I11+I12)*Inputs!$D$57*(1-Budget!$C$17)</f>
        <v/>
      </c>
      <c r="J19" s="13">
        <f>(J11+J12)*Inputs!$D$57*(1-Budget!$C$17)</f>
        <v/>
      </c>
      <c r="K19" s="13">
        <f>(K11+K12)*Inputs!$D$57*(1-Budget!$C$17)</f>
        <v/>
      </c>
      <c r="L19" s="13">
        <f>(L11+L12)*Inputs!$D$57*(1-Budget!$C$17)</f>
        <v/>
      </c>
      <c r="M19" s="13">
        <f>(M11+M12)*Inputs!$D$57*(1-Budget!$C$17)</f>
        <v/>
      </c>
      <c r="N19" s="13">
        <f>(N11+N12)*Inputs!$D$57*(1-Budget!$C$17)</f>
        <v/>
      </c>
      <c r="O19" s="13">
        <f>(O11+O12)*Inputs!$D$57*(1-Budget!$C$17)</f>
        <v/>
      </c>
      <c r="P19" s="13">
        <f>(P11+P12)*Inputs!$D$57*(1-Budget!$C$17)</f>
        <v/>
      </c>
      <c r="Q19" s="13">
        <f>(Q11+Q12)*Inputs!$D$57*(1-Budget!$C$17)</f>
        <v/>
      </c>
      <c r="R19" s="13">
        <f>SUM(B19:Q19)</f>
        <v/>
      </c>
    </row>
    <row r="20">
      <c r="A20" s="16" t="inlineStr">
        <is>
          <t>Net cash flow</t>
        </is>
      </c>
      <c r="B20" s="13">
        <f>SUM(B14:B19)</f>
        <v/>
      </c>
      <c r="C20" s="13">
        <f>SUM(C14:C19)</f>
        <v/>
      </c>
      <c r="D20" s="13">
        <f>SUM(D14:D19)</f>
        <v/>
      </c>
      <c r="E20" s="13">
        <f>SUM(E14:E19)</f>
        <v/>
      </c>
      <c r="F20" s="13">
        <f>SUM(F14:F19)</f>
        <v/>
      </c>
      <c r="G20" s="13">
        <f>SUM(G14:G19)</f>
        <v/>
      </c>
      <c r="H20" s="13">
        <f>SUM(H14:H19)</f>
        <v/>
      </c>
      <c r="I20" s="13">
        <f>SUM(I14:I19)</f>
        <v/>
      </c>
      <c r="J20" s="13">
        <f>SUM(J14:J19)</f>
        <v/>
      </c>
      <c r="K20" s="13">
        <f>SUM(K14:K19)</f>
        <v/>
      </c>
      <c r="L20" s="13">
        <f>SUM(L14:L19)</f>
        <v/>
      </c>
      <c r="M20" s="13">
        <f>SUM(M14:M19)</f>
        <v/>
      </c>
      <c r="N20" s="13">
        <f>SUM(N14:N19)</f>
        <v/>
      </c>
      <c r="O20" s="13">
        <f>SUM(O14:O19)</f>
        <v/>
      </c>
      <c r="P20" s="13">
        <f>SUM(P14:P19)</f>
        <v/>
      </c>
      <c r="Q20" s="13">
        <f>SUM(Q14:Q19)</f>
        <v/>
      </c>
      <c r="R20" s="13">
        <f>SUM(B20:Q20)</f>
        <v/>
      </c>
    </row>
    <row r="21">
      <c r="A21" s="16" t="inlineStr">
        <is>
          <t>Cumulative</t>
        </is>
      </c>
      <c r="B21" s="13">
        <f>B20</f>
        <v/>
      </c>
      <c r="C21" s="13">
        <f>B21+C20</f>
        <v/>
      </c>
      <c r="D21" s="13">
        <f>C21+D20</f>
        <v/>
      </c>
      <c r="E21" s="13">
        <f>D21+E20</f>
        <v/>
      </c>
      <c r="F21" s="13">
        <f>E21+F20</f>
        <v/>
      </c>
      <c r="G21" s="13">
        <f>F21+G20</f>
        <v/>
      </c>
      <c r="H21" s="13">
        <f>G21+H20</f>
        <v/>
      </c>
      <c r="I21" s="13">
        <f>H21+I20</f>
        <v/>
      </c>
      <c r="J21" s="13">
        <f>I21+J20</f>
        <v/>
      </c>
      <c r="K21" s="13">
        <f>J21+K20</f>
        <v/>
      </c>
      <c r="L21" s="13">
        <f>K21+L20</f>
        <v/>
      </c>
      <c r="M21" s="13">
        <f>L21+M20</f>
        <v/>
      </c>
      <c r="N21" s="13">
        <f>M21+N20</f>
        <v/>
      </c>
      <c r="O21" s="13">
        <f>N21+O20</f>
        <v/>
      </c>
      <c r="P21" s="13">
        <f>O21+P20</f>
        <v/>
      </c>
      <c r="Q21" s="13">
        <f>P21+Q20</f>
        <v/>
      </c>
    </row>
    <row r="23">
      <c r="A23" s="16" t="inlineStr">
        <is>
          <t>Peak cash need (most negative cumulative)</t>
        </is>
      </c>
      <c r="B23" s="17">
        <f>MIN(B21:Q21)</f>
        <v/>
      </c>
    </row>
    <row r="24">
      <c r="A24" s="8" t="inlineStr">
        <is>
          <t>Spent to date is not in this sheet (already spent). Peak cash need is what equity and construction loans must cover 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2026-10-30T15:55:09Z</dcterms:created>
  <dcterms:modified xmlns:dcterms="http://purl.org/dc/terms/" xmlns:xsi="http://www.w3.org/2001/XMLSchema-instance" xsi:type="dcterms:W3CDTF">2026-10-30T15:55:09Z</dcterms:modified>
</cp:coreProperties>
</file>